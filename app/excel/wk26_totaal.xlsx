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I:\Prive\EK 2024\"/>
    </mc:Choice>
  </mc:AlternateContent>
  <xr:revisionPtr revIDLastSave="0" documentId="13_ncr:1_{4E08DB0A-19A1-4F3A-986A-5AA9DF84C7D1}" xr6:coauthVersionLast="47" xr6:coauthVersionMax="47" xr10:uidLastSave="{00000000-0000-0000-0000-000000000000}"/>
  <bookViews>
    <workbookView xWindow="-110" yWindow="-110" windowWidth="19420" windowHeight="10080" xr2:uid="{82939308-73E8-454E-A6A1-FEF612E4A27F}"/>
  </bookViews>
  <sheets>
    <sheet name="Puntentelling" sheetId="37" r:id="rId1"/>
    <sheet name="Groepsfase Thijs" sheetId="1" r:id="rId2"/>
    <sheet name="Knock-out Thijs" sheetId="2" r:id="rId3"/>
    <sheet name="Groepsfase Emma" sheetId="3" r:id="rId4"/>
    <sheet name="Knock-out Emma " sheetId="4" r:id="rId5"/>
    <sheet name="Groepsfase Tom" sheetId="5" r:id="rId6"/>
    <sheet name="Knock-out Tom " sheetId="6" r:id="rId7"/>
    <sheet name="Groepsfase Nova" sheetId="8" r:id="rId8"/>
    <sheet name="Knock-out Nova " sheetId="9" r:id="rId9"/>
    <sheet name="Groepsfase Koen N" sheetId="10" r:id="rId10"/>
    <sheet name="Knock-out Koen N " sheetId="11" r:id="rId11"/>
    <sheet name="Groepsfase Frederique" sheetId="12" r:id="rId12"/>
    <sheet name="Knock-out Frederique " sheetId="13" r:id="rId13"/>
    <sheet name="Groepsfase PP" sheetId="14" r:id="rId14"/>
    <sheet name="Knock-out PP " sheetId="15" r:id="rId15"/>
    <sheet name="Groepsfase Gies" sheetId="16" r:id="rId16"/>
    <sheet name="Knock-out Gies " sheetId="17" r:id="rId17"/>
    <sheet name="Groepsfase Guusje" sheetId="18" r:id="rId18"/>
    <sheet name="Knock-out  Guusje" sheetId="19" r:id="rId19"/>
    <sheet name="Groepsfase Esther" sheetId="21" r:id="rId20"/>
    <sheet name="Knock-out Esther" sheetId="22" r:id="rId21"/>
    <sheet name="Groepsfase Pleun" sheetId="23" r:id="rId22"/>
    <sheet name="Knock-out Pleun" sheetId="24" r:id="rId23"/>
    <sheet name="Groepsfase Niek" sheetId="25" r:id="rId24"/>
    <sheet name="Knock-out Niek " sheetId="26" r:id="rId25"/>
    <sheet name="Groepsfase Patrick" sheetId="27" r:id="rId26"/>
    <sheet name="Knock-out Patrick " sheetId="28" r:id="rId27"/>
    <sheet name="Groepsfase Maartje" sheetId="29" r:id="rId28"/>
    <sheet name="Knock-out Maartje " sheetId="30" r:id="rId29"/>
    <sheet name="Groepsfase Sam" sheetId="31" r:id="rId30"/>
    <sheet name="Knock-out Sam " sheetId="32" r:id="rId31"/>
    <sheet name="Groepsfase Guus" sheetId="33" r:id="rId32"/>
    <sheet name="Knock-out Guus " sheetId="34" r:id="rId33"/>
    <sheet name="Groepsfase Bram" sheetId="35" r:id="rId34"/>
    <sheet name="Knock-out Bram " sheetId="36" r:id="rId35"/>
    <sheet name="Groepsfase Puck" sheetId="38" r:id="rId36"/>
    <sheet name="Knock-out Puck" sheetId="39" r:id="rId37"/>
    <sheet name="Groepsfase Mart" sheetId="40" r:id="rId38"/>
    <sheet name="Knock-out Mart " sheetId="41" r:id="rId39"/>
    <sheet name="Groepsfase Jetski" sheetId="42" r:id="rId40"/>
    <sheet name="Knock-out Jetski " sheetId="43" r:id="rId41"/>
    <sheet name="Groepsfase Dennis" sheetId="44" r:id="rId42"/>
    <sheet name="Knock-out Dennis " sheetId="45" r:id="rId43"/>
    <sheet name="Groepsfase Froukje" sheetId="46" r:id="rId44"/>
    <sheet name="Knock-out Froukje " sheetId="47" r:id="rId45"/>
    <sheet name="Groepsfase Edward" sheetId="48" r:id="rId46"/>
    <sheet name="Knock-out  Edward" sheetId="49" r:id="rId47"/>
    <sheet name="Groepsfase Lucas" sheetId="50" r:id="rId48"/>
    <sheet name="Knock-out Lucas " sheetId="51" r:id="rId49"/>
    <sheet name="Groepsfase Bobbi" sheetId="52" r:id="rId50"/>
    <sheet name="Knock-out Bobbi" sheetId="53" r:id="rId51"/>
    <sheet name="Groepsfase Koen B" sheetId="54" r:id="rId52"/>
    <sheet name="Knock-out  Koen B" sheetId="55" r:id="rId53"/>
    <sheet name="Groepsfase Floris" sheetId="56" r:id="rId54"/>
    <sheet name="Knock-out Floris" sheetId="57" r:id="rId55"/>
    <sheet name="Groepsfase Gijs" sheetId="58" r:id="rId56"/>
    <sheet name="Knock-out Gijs" sheetId="59" r:id="rId57"/>
    <sheet name="Groepsfase vd Geize" sheetId="60" r:id="rId58"/>
    <sheet name="Knock-out vd Geize" sheetId="61" r:id="rId59"/>
    <sheet name="Groepsfase Freek" sheetId="64" r:id="rId60"/>
    <sheet name="Knock-out  FReek" sheetId="65" r:id="rId61"/>
    <sheet name="Groepsfase Nanne" sheetId="66" r:id="rId62"/>
    <sheet name="Knock-out Nanne " sheetId="67" r:id="rId63"/>
    <sheet name="Groepsfase Mats" sheetId="70" r:id="rId64"/>
    <sheet name="Knock-out MAts " sheetId="71" r:id="rId65"/>
    <sheet name="Groepsfase Teun" sheetId="72" r:id="rId66"/>
    <sheet name="Knock-out Teun " sheetId="73" r:id="rId67"/>
    <sheet name="Groepsfase Ollie" sheetId="74" r:id="rId68"/>
    <sheet name="Knock-out Ollie " sheetId="75" r:id="rId69"/>
    <sheet name="Groepsfase AI" sheetId="68" r:id="rId70"/>
    <sheet name="Knock-out AI " sheetId="69" r:id="rId7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2" i="68" l="1"/>
  <c r="C40" i="37" s="1"/>
  <c r="J82" i="74"/>
  <c r="C39" i="37" s="1"/>
  <c r="J82" i="72"/>
  <c r="C38" i="37" s="1"/>
  <c r="J82" i="70"/>
  <c r="C37" i="37" s="1"/>
  <c r="A11" i="75"/>
  <c r="D11" i="75"/>
  <c r="G11" i="75"/>
  <c r="J11" i="75"/>
  <c r="M11" i="75"/>
  <c r="A12" i="75"/>
  <c r="D12" i="75"/>
  <c r="G12" i="75"/>
  <c r="J12" i="75"/>
  <c r="A13" i="75"/>
  <c r="D13" i="75"/>
  <c r="G13" i="75"/>
  <c r="J13" i="75"/>
  <c r="A14" i="75"/>
  <c r="D14" i="75"/>
  <c r="D15" i="75" s="1"/>
  <c r="D16" i="75" s="1"/>
  <c r="D17" i="75" s="1"/>
  <c r="D18" i="75" s="1"/>
  <c r="D19" i="75" s="1"/>
  <c r="D20" i="75" s="1"/>
  <c r="D21" i="75" s="1"/>
  <c r="D22" i="75" s="1"/>
  <c r="D23" i="75" s="1"/>
  <c r="D24" i="75" s="1"/>
  <c r="D25" i="75" s="1"/>
  <c r="G14" i="75"/>
  <c r="A15" i="75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G15" i="75"/>
  <c r="G16" i="75" s="1"/>
  <c r="G17" i="75" s="1"/>
  <c r="H9" i="74"/>
  <c r="H10" i="74"/>
  <c r="H11" i="74"/>
  <c r="H12" i="74"/>
  <c r="H13" i="74"/>
  <c r="H14" i="74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A11" i="73" l="1"/>
  <c r="D11" i="73"/>
  <c r="G11" i="73"/>
  <c r="J11" i="73"/>
  <c r="M11" i="73"/>
  <c r="A12" i="73"/>
  <c r="D12" i="73"/>
  <c r="G12" i="73"/>
  <c r="J12" i="73"/>
  <c r="A13" i="73"/>
  <c r="D13" i="73"/>
  <c r="G13" i="73"/>
  <c r="J13" i="73"/>
  <c r="A14" i="73"/>
  <c r="D14" i="73"/>
  <c r="G14" i="73"/>
  <c r="A15" i="73"/>
  <c r="D15" i="73"/>
  <c r="G15" i="73"/>
  <c r="A16" i="73"/>
  <c r="D16" i="73"/>
  <c r="G16" i="73"/>
  <c r="A17" i="73"/>
  <c r="D17" i="73"/>
  <c r="G17" i="73"/>
  <c r="A18" i="73"/>
  <c r="D18" i="73"/>
  <c r="A19" i="73"/>
  <c r="D19" i="73"/>
  <c r="A20" i="73"/>
  <c r="D20" i="73"/>
  <c r="A21" i="73"/>
  <c r="D21" i="73"/>
  <c r="A22" i="73"/>
  <c r="D22" i="73"/>
  <c r="A23" i="73"/>
  <c r="D23" i="73"/>
  <c r="A24" i="73"/>
  <c r="D24" i="73"/>
  <c r="A25" i="73"/>
  <c r="D25" i="73"/>
  <c r="A26" i="73"/>
  <c r="A27" i="73"/>
  <c r="A28" i="73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H9" i="72"/>
  <c r="H10" i="72"/>
  <c r="H11" i="72"/>
  <c r="H12" i="72"/>
  <c r="H13" i="72"/>
  <c r="H14" i="72"/>
  <c r="H15" i="72"/>
  <c r="H16" i="72"/>
  <c r="H17" i="72"/>
  <c r="H18" i="72"/>
  <c r="H19" i="72"/>
  <c r="H20" i="72"/>
  <c r="H21" i="72"/>
  <c r="H22" i="72"/>
  <c r="H23" i="72"/>
  <c r="H24" i="72"/>
  <c r="H25" i="72"/>
  <c r="H26" i="72"/>
  <c r="H27" i="72"/>
  <c r="H28" i="72"/>
  <c r="H29" i="72"/>
  <c r="H30" i="72"/>
  <c r="H31" i="72"/>
  <c r="H32" i="72"/>
  <c r="H33" i="72"/>
  <c r="H34" i="72"/>
  <c r="H35" i="72"/>
  <c r="H36" i="72"/>
  <c r="H37" i="72"/>
  <c r="H38" i="72"/>
  <c r="H39" i="72"/>
  <c r="H40" i="72"/>
  <c r="H41" i="72"/>
  <c r="H42" i="72"/>
  <c r="H43" i="72"/>
  <c r="H44" i="72"/>
  <c r="H45" i="72"/>
  <c r="H46" i="72"/>
  <c r="H47" i="72"/>
  <c r="H48" i="72"/>
  <c r="H49" i="72"/>
  <c r="H50" i="72"/>
  <c r="H51" i="72"/>
  <c r="H52" i="72"/>
  <c r="H53" i="72"/>
  <c r="H54" i="72"/>
  <c r="H55" i="72"/>
  <c r="H56" i="72"/>
  <c r="H57" i="72"/>
  <c r="H58" i="72"/>
  <c r="H59" i="72"/>
  <c r="H60" i="72"/>
  <c r="H61" i="72"/>
  <c r="H62" i="72"/>
  <c r="H63" i="72"/>
  <c r="H64" i="72"/>
  <c r="H65" i="72"/>
  <c r="H66" i="72"/>
  <c r="H67" i="72"/>
  <c r="H68" i="72"/>
  <c r="H69" i="72"/>
  <c r="H70" i="72"/>
  <c r="H71" i="72"/>
  <c r="H72" i="72"/>
  <c r="H73" i="72"/>
  <c r="H74" i="72"/>
  <c r="H75" i="72"/>
  <c r="H76" i="72"/>
  <c r="H77" i="72"/>
  <c r="H78" i="72"/>
  <c r="H79" i="72"/>
  <c r="H80" i="72"/>
  <c r="M26" i="59" l="1"/>
  <c r="A11" i="71"/>
  <c r="D11" i="71"/>
  <c r="G11" i="71"/>
  <c r="J11" i="71"/>
  <c r="M11" i="71"/>
  <c r="A12" i="71"/>
  <c r="D12" i="71"/>
  <c r="G12" i="71"/>
  <c r="J12" i="71"/>
  <c r="A13" i="71"/>
  <c r="D13" i="71"/>
  <c r="G13" i="71"/>
  <c r="J13" i="71"/>
  <c r="A14" i="71"/>
  <c r="D14" i="71"/>
  <c r="G14" i="71"/>
  <c r="A15" i="71"/>
  <c r="D15" i="71"/>
  <c r="G15" i="71"/>
  <c r="A16" i="71"/>
  <c r="D16" i="71"/>
  <c r="G16" i="71"/>
  <c r="A17" i="71"/>
  <c r="D17" i="71"/>
  <c r="G17" i="71"/>
  <c r="A18" i="71"/>
  <c r="D18" i="71"/>
  <c r="A19" i="71"/>
  <c r="D19" i="71"/>
  <c r="A20" i="71"/>
  <c r="D20" i="71"/>
  <c r="A21" i="71"/>
  <c r="D21" i="71"/>
  <c r="A22" i="71"/>
  <c r="D22" i="71"/>
  <c r="A23" i="71"/>
  <c r="D23" i="71"/>
  <c r="A24" i="71"/>
  <c r="D24" i="71"/>
  <c r="A25" i="71"/>
  <c r="D25" i="71"/>
  <c r="A26" i="71"/>
  <c r="A27" i="7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A11" i="69" l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A38" i="69" s="1"/>
  <c r="A39" i="69" s="1"/>
  <c r="A40" i="69" s="1"/>
  <c r="A41" i="69" s="1"/>
  <c r="D11" i="69"/>
  <c r="G11" i="69"/>
  <c r="G12" i="69" s="1"/>
  <c r="G13" i="69" s="1"/>
  <c r="G14" i="69" s="1"/>
  <c r="G15" i="69" s="1"/>
  <c r="G16" i="69" s="1"/>
  <c r="G17" i="69" s="1"/>
  <c r="J11" i="69"/>
  <c r="M11" i="69"/>
  <c r="D12" i="69"/>
  <c r="J12" i="69"/>
  <c r="D13" i="69"/>
  <c r="J13" i="69"/>
  <c r="D14" i="69"/>
  <c r="D15" i="69" s="1"/>
  <c r="D16" i="69" s="1"/>
  <c r="D17" i="69" s="1"/>
  <c r="D18" i="69" s="1"/>
  <c r="D19" i="69" s="1"/>
  <c r="D20" i="69" s="1"/>
  <c r="D21" i="69" s="1"/>
  <c r="D22" i="69" s="1"/>
  <c r="D23" i="69" s="1"/>
  <c r="D24" i="69" s="1"/>
  <c r="D25" i="69" s="1"/>
  <c r="H9" i="68"/>
  <c r="H10" i="68"/>
  <c r="H11" i="68"/>
  <c r="H12" i="68"/>
  <c r="H13" i="68"/>
  <c r="H14" i="68"/>
  <c r="H15" i="68"/>
  <c r="H16" i="68"/>
  <c r="H17" i="68"/>
  <c r="H18" i="68"/>
  <c r="H19" i="68"/>
  <c r="H20" i="68"/>
  <c r="H21" i="68"/>
  <c r="H22" i="68"/>
  <c r="H23" i="68"/>
  <c r="H24" i="68"/>
  <c r="H25" i="68"/>
  <c r="H26" i="68"/>
  <c r="H27" i="68"/>
  <c r="H28" i="68"/>
  <c r="H29" i="68"/>
  <c r="H30" i="68"/>
  <c r="H31" i="68"/>
  <c r="H32" i="68"/>
  <c r="H33" i="68"/>
  <c r="H34" i="68"/>
  <c r="H35" i="68"/>
  <c r="H36" i="68"/>
  <c r="H37" i="68"/>
  <c r="H38" i="68"/>
  <c r="H39" i="68"/>
  <c r="H40" i="68"/>
  <c r="H41" i="68"/>
  <c r="H42" i="68"/>
  <c r="H43" i="68"/>
  <c r="H44" i="68"/>
  <c r="H45" i="68"/>
  <c r="H46" i="68"/>
  <c r="H47" i="68"/>
  <c r="H48" i="68"/>
  <c r="H49" i="68"/>
  <c r="H50" i="68"/>
  <c r="H51" i="68"/>
  <c r="H52" i="68"/>
  <c r="H53" i="68"/>
  <c r="H54" i="68"/>
  <c r="H55" i="68"/>
  <c r="H56" i="68"/>
  <c r="H57" i="68"/>
  <c r="H58" i="68"/>
  <c r="H59" i="68"/>
  <c r="H60" i="68"/>
  <c r="H61" i="68"/>
  <c r="H62" i="68"/>
  <c r="H63" i="68"/>
  <c r="H64" i="68"/>
  <c r="H65" i="68"/>
  <c r="H66" i="68"/>
  <c r="H67" i="68"/>
  <c r="H68" i="68"/>
  <c r="H69" i="68"/>
  <c r="H70" i="68"/>
  <c r="H71" i="68"/>
  <c r="H72" i="68"/>
  <c r="H73" i="68"/>
  <c r="H74" i="68"/>
  <c r="H75" i="68"/>
  <c r="H76" i="68"/>
  <c r="H77" i="68"/>
  <c r="H78" i="68"/>
  <c r="H79" i="68"/>
  <c r="H80" i="68"/>
  <c r="J82" i="3" l="1"/>
  <c r="C7" i="37" s="1"/>
  <c r="J82" i="5"/>
  <c r="C8" i="37" s="1"/>
  <c r="J82" i="8"/>
  <c r="C9" i="37" s="1"/>
  <c r="J82" i="10"/>
  <c r="C10" i="37" s="1"/>
  <c r="J82" i="12"/>
  <c r="C11" i="37" s="1"/>
  <c r="J82" i="14"/>
  <c r="C12" i="37" s="1"/>
  <c r="J82" i="16"/>
  <c r="C13" i="37" s="1"/>
  <c r="J82" i="18"/>
  <c r="C14" i="37" s="1"/>
  <c r="J82" i="21"/>
  <c r="C15" i="37" s="1"/>
  <c r="J82" i="23"/>
  <c r="C16" i="37" s="1"/>
  <c r="J82" i="25"/>
  <c r="C17" i="37" s="1"/>
  <c r="J82" i="27"/>
  <c r="C18" i="37" s="1"/>
  <c r="J82" i="29"/>
  <c r="C19" i="37" s="1"/>
  <c r="J82" i="31"/>
  <c r="C20" i="37" s="1"/>
  <c r="J82" i="33"/>
  <c r="C21" i="37" s="1"/>
  <c r="J82" i="35"/>
  <c r="C22" i="37" s="1"/>
  <c r="J82" i="38"/>
  <c r="C23" i="37" s="1"/>
  <c r="J82" i="40"/>
  <c r="C24" i="37" s="1"/>
  <c r="J82" i="42"/>
  <c r="C25" i="37" s="1"/>
  <c r="J82" i="44"/>
  <c r="C26" i="37" s="1"/>
  <c r="J82" i="46"/>
  <c r="C27" i="37" s="1"/>
  <c r="J82" i="48"/>
  <c r="C28" i="37" s="1"/>
  <c r="J82" i="50"/>
  <c r="C29" i="37" s="1"/>
  <c r="J82" i="52"/>
  <c r="C30" i="37" s="1"/>
  <c r="J82" i="54"/>
  <c r="C31" i="37" s="1"/>
  <c r="J82" i="56"/>
  <c r="C32" i="37" s="1"/>
  <c r="J82" i="58"/>
  <c r="C33" i="37" s="1"/>
  <c r="J82" i="60"/>
  <c r="C34" i="37" s="1"/>
  <c r="J82" i="64"/>
  <c r="C35" i="37" s="1"/>
  <c r="J82" i="66"/>
  <c r="C36" i="37" s="1"/>
  <c r="J82" i="1"/>
  <c r="C6" i="37" s="1"/>
  <c r="A11" i="67"/>
  <c r="D11" i="67"/>
  <c r="G11" i="67"/>
  <c r="J11" i="67"/>
  <c r="M11" i="67"/>
  <c r="A12" i="67"/>
  <c r="D12" i="67"/>
  <c r="G12" i="67"/>
  <c r="J12" i="67"/>
  <c r="A13" i="67"/>
  <c r="D13" i="67"/>
  <c r="G13" i="67"/>
  <c r="J13" i="67"/>
  <c r="A14" i="67"/>
  <c r="D14" i="67"/>
  <c r="G14" i="67"/>
  <c r="A15" i="67"/>
  <c r="D15" i="67"/>
  <c r="G15" i="67"/>
  <c r="A16" i="67"/>
  <c r="D16" i="67"/>
  <c r="G16" i="67"/>
  <c r="A17" i="67"/>
  <c r="D17" i="67"/>
  <c r="G17" i="67"/>
  <c r="A18" i="67"/>
  <c r="D18" i="67"/>
  <c r="A19" i="67"/>
  <c r="D19" i="67"/>
  <c r="A20" i="67"/>
  <c r="D20" i="67"/>
  <c r="A21" i="67"/>
  <c r="D21" i="67"/>
  <c r="A22" i="67"/>
  <c r="D22" i="67"/>
  <c r="A23" i="67"/>
  <c r="D23" i="67"/>
  <c r="A24" i="67"/>
  <c r="D24" i="67"/>
  <c r="A25" i="67"/>
  <c r="D25" i="67"/>
  <c r="A26" i="67"/>
  <c r="A27" i="67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H9" i="66"/>
  <c r="H10" i="66"/>
  <c r="H11" i="66"/>
  <c r="H12" i="66"/>
  <c r="H13" i="66"/>
  <c r="H14" i="66"/>
  <c r="H15" i="66"/>
  <c r="H16" i="66"/>
  <c r="H17" i="66"/>
  <c r="H18" i="66"/>
  <c r="H19" i="66"/>
  <c r="H20" i="66"/>
  <c r="H21" i="66"/>
  <c r="H22" i="66"/>
  <c r="H23" i="66"/>
  <c r="H24" i="66"/>
  <c r="H25" i="66"/>
  <c r="H26" i="66"/>
  <c r="H27" i="66"/>
  <c r="H28" i="66"/>
  <c r="H29" i="66"/>
  <c r="H30" i="66"/>
  <c r="H31" i="66"/>
  <c r="H32" i="66"/>
  <c r="H33" i="66"/>
  <c r="H34" i="66"/>
  <c r="H35" i="66"/>
  <c r="H36" i="66"/>
  <c r="H37" i="66"/>
  <c r="H38" i="66"/>
  <c r="H39" i="66"/>
  <c r="H40" i="66"/>
  <c r="H41" i="66"/>
  <c r="H42" i="66"/>
  <c r="H43" i="66"/>
  <c r="H44" i="66"/>
  <c r="H45" i="66"/>
  <c r="H46" i="66"/>
  <c r="H47" i="66"/>
  <c r="H48" i="66"/>
  <c r="H49" i="66"/>
  <c r="H50" i="66"/>
  <c r="H51" i="66"/>
  <c r="H52" i="66"/>
  <c r="H53" i="66"/>
  <c r="H54" i="66"/>
  <c r="H55" i="66"/>
  <c r="H56" i="66"/>
  <c r="H57" i="66"/>
  <c r="H58" i="66"/>
  <c r="H59" i="66"/>
  <c r="H60" i="66"/>
  <c r="H61" i="66"/>
  <c r="H62" i="66"/>
  <c r="H63" i="66"/>
  <c r="H64" i="66"/>
  <c r="H65" i="66"/>
  <c r="H66" i="66"/>
  <c r="H67" i="66"/>
  <c r="H68" i="66"/>
  <c r="H69" i="66"/>
  <c r="H70" i="66"/>
  <c r="H71" i="66"/>
  <c r="H72" i="66"/>
  <c r="H73" i="66"/>
  <c r="H74" i="66"/>
  <c r="H75" i="66"/>
  <c r="H76" i="66"/>
  <c r="H77" i="66"/>
  <c r="H78" i="66"/>
  <c r="H79" i="66"/>
  <c r="H80" i="66"/>
  <c r="A11" i="65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D11" i="65"/>
  <c r="G11" i="65"/>
  <c r="G12" i="65" s="1"/>
  <c r="G13" i="65" s="1"/>
  <c r="G14" i="65" s="1"/>
  <c r="G15" i="65" s="1"/>
  <c r="G16" i="65" s="1"/>
  <c r="G17" i="65" s="1"/>
  <c r="J11" i="65"/>
  <c r="M11" i="65"/>
  <c r="D12" i="65"/>
  <c r="J12" i="65"/>
  <c r="D13" i="65"/>
  <c r="J13" i="65"/>
  <c r="D14" i="65"/>
  <c r="D15" i="65" s="1"/>
  <c r="D16" i="65" s="1"/>
  <c r="D17" i="65" s="1"/>
  <c r="D18" i="65" s="1"/>
  <c r="D19" i="65" s="1"/>
  <c r="D20" i="65" s="1"/>
  <c r="D21" i="65" s="1"/>
  <c r="D22" i="65" s="1"/>
  <c r="D23" i="65" s="1"/>
  <c r="D24" i="65" s="1"/>
  <c r="D25" i="65" s="1"/>
  <c r="H9" i="64"/>
  <c r="H10" i="64"/>
  <c r="H11" i="64"/>
  <c r="H12" i="64"/>
  <c r="H13" i="64"/>
  <c r="H14" i="64"/>
  <c r="H15" i="64"/>
  <c r="H16" i="64"/>
  <c r="H17" i="64"/>
  <c r="H18" i="64"/>
  <c r="H19" i="64"/>
  <c r="H20" i="64"/>
  <c r="H21" i="64"/>
  <c r="H22" i="64"/>
  <c r="H23" i="64"/>
  <c r="H24" i="64"/>
  <c r="H25" i="64"/>
  <c r="H26" i="64"/>
  <c r="H27" i="64"/>
  <c r="H28" i="64"/>
  <c r="H29" i="64"/>
  <c r="H30" i="64"/>
  <c r="H31" i="64"/>
  <c r="H32" i="64"/>
  <c r="H33" i="64"/>
  <c r="H34" i="64"/>
  <c r="H35" i="64"/>
  <c r="H36" i="64"/>
  <c r="H37" i="64"/>
  <c r="H38" i="64"/>
  <c r="H39" i="64"/>
  <c r="H40" i="64"/>
  <c r="H41" i="64"/>
  <c r="H42" i="64"/>
  <c r="H43" i="64"/>
  <c r="H44" i="64"/>
  <c r="H45" i="64"/>
  <c r="H46" i="64"/>
  <c r="H47" i="64"/>
  <c r="H48" i="64"/>
  <c r="H49" i="64"/>
  <c r="H50" i="64"/>
  <c r="H51" i="64"/>
  <c r="H52" i="64"/>
  <c r="H53" i="64"/>
  <c r="H54" i="64"/>
  <c r="H55" i="64"/>
  <c r="H56" i="64"/>
  <c r="H57" i="64"/>
  <c r="H58" i="64"/>
  <c r="H59" i="64"/>
  <c r="H60" i="64"/>
  <c r="H61" i="64"/>
  <c r="H62" i="64"/>
  <c r="H63" i="64"/>
  <c r="H64" i="64"/>
  <c r="H65" i="64"/>
  <c r="H66" i="64"/>
  <c r="H67" i="64"/>
  <c r="H68" i="64"/>
  <c r="H69" i="64"/>
  <c r="H70" i="64"/>
  <c r="H71" i="64"/>
  <c r="H72" i="64"/>
  <c r="H73" i="64"/>
  <c r="H74" i="64"/>
  <c r="H75" i="64"/>
  <c r="H76" i="64"/>
  <c r="H77" i="64"/>
  <c r="H78" i="64"/>
  <c r="H79" i="64"/>
  <c r="H80" i="64"/>
  <c r="A11" i="61" l="1"/>
  <c r="D11" i="61"/>
  <c r="G11" i="61"/>
  <c r="J11" i="61"/>
  <c r="M11" i="61"/>
  <c r="A12" i="61"/>
  <c r="D12" i="61"/>
  <c r="G12" i="61"/>
  <c r="J12" i="61"/>
  <c r="A13" i="61"/>
  <c r="D13" i="61"/>
  <c r="G13" i="61"/>
  <c r="J13" i="61"/>
  <c r="A14" i="61"/>
  <c r="D14" i="61"/>
  <c r="D15" i="61" s="1"/>
  <c r="D16" i="61" s="1"/>
  <c r="D17" i="61" s="1"/>
  <c r="D18" i="61" s="1"/>
  <c r="D19" i="61" s="1"/>
  <c r="D20" i="61" s="1"/>
  <c r="D21" i="61" s="1"/>
  <c r="D22" i="61" s="1"/>
  <c r="D23" i="61" s="1"/>
  <c r="D24" i="61" s="1"/>
  <c r="D25" i="61" s="1"/>
  <c r="G14" i="61"/>
  <c r="A15" i="61"/>
  <c r="G15" i="61"/>
  <c r="A16" i="61"/>
  <c r="G16" i="61"/>
  <c r="A17" i="6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A38" i="61" s="1"/>
  <c r="A39" i="61" s="1"/>
  <c r="A40" i="61" s="1"/>
  <c r="A41" i="61" s="1"/>
  <c r="G17" i="61"/>
  <c r="H9" i="60"/>
  <c r="H10" i="60"/>
  <c r="H11" i="60"/>
  <c r="H12" i="60"/>
  <c r="H13" i="60"/>
  <c r="H14" i="60"/>
  <c r="H15" i="60"/>
  <c r="H16" i="60"/>
  <c r="H17" i="60"/>
  <c r="H18" i="60"/>
  <c r="H19" i="60"/>
  <c r="H20" i="60"/>
  <c r="H21" i="60"/>
  <c r="H22" i="60"/>
  <c r="H23" i="60"/>
  <c r="H24" i="60"/>
  <c r="H25" i="60"/>
  <c r="H26" i="60"/>
  <c r="H27" i="60"/>
  <c r="H28" i="60"/>
  <c r="H29" i="60"/>
  <c r="H30" i="60"/>
  <c r="H31" i="60"/>
  <c r="H32" i="60"/>
  <c r="H33" i="60"/>
  <c r="H34" i="60"/>
  <c r="H35" i="60"/>
  <c r="H36" i="60"/>
  <c r="H37" i="60"/>
  <c r="H38" i="60"/>
  <c r="H39" i="60"/>
  <c r="H40" i="60"/>
  <c r="H41" i="60"/>
  <c r="H42" i="60"/>
  <c r="H43" i="60"/>
  <c r="H44" i="60"/>
  <c r="H45" i="60"/>
  <c r="H46" i="60"/>
  <c r="H47" i="60"/>
  <c r="H48" i="60"/>
  <c r="H49" i="60"/>
  <c r="H50" i="60"/>
  <c r="H51" i="60"/>
  <c r="H52" i="60"/>
  <c r="H53" i="60"/>
  <c r="H54" i="60"/>
  <c r="H55" i="60"/>
  <c r="H56" i="60"/>
  <c r="H57" i="60"/>
  <c r="H58" i="60"/>
  <c r="H59" i="60"/>
  <c r="H60" i="60"/>
  <c r="H61" i="60"/>
  <c r="H62" i="60"/>
  <c r="H63" i="60"/>
  <c r="H64" i="60"/>
  <c r="H65" i="60"/>
  <c r="H66" i="60"/>
  <c r="H67" i="60"/>
  <c r="H68" i="60"/>
  <c r="H69" i="60"/>
  <c r="H70" i="60"/>
  <c r="H71" i="60"/>
  <c r="H72" i="60"/>
  <c r="H73" i="60"/>
  <c r="H74" i="60"/>
  <c r="H75" i="60"/>
  <c r="H76" i="60"/>
  <c r="H77" i="60"/>
  <c r="H78" i="60"/>
  <c r="H79" i="60"/>
  <c r="H80" i="60"/>
  <c r="A11" i="59" l="1"/>
  <c r="D11" i="59"/>
  <c r="D12" i="59" s="1"/>
  <c r="D13" i="59" s="1"/>
  <c r="D14" i="59" s="1"/>
  <c r="D15" i="59" s="1"/>
  <c r="D16" i="59" s="1"/>
  <c r="D17" i="59" s="1"/>
  <c r="D18" i="59" s="1"/>
  <c r="D19" i="59" s="1"/>
  <c r="D20" i="59" s="1"/>
  <c r="D21" i="59" s="1"/>
  <c r="D22" i="59" s="1"/>
  <c r="D23" i="59" s="1"/>
  <c r="D24" i="59" s="1"/>
  <c r="D25" i="59" s="1"/>
  <c r="G11" i="59"/>
  <c r="J11" i="59"/>
  <c r="J12" i="59" s="1"/>
  <c r="J13" i="59" s="1"/>
  <c r="M11" i="59"/>
  <c r="A12" i="59"/>
  <c r="G12" i="59"/>
  <c r="A13" i="59"/>
  <c r="G13" i="59"/>
  <c r="A14" i="59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G14" i="59"/>
  <c r="G15" i="59" s="1"/>
  <c r="G16" i="59" s="1"/>
  <c r="G17" i="59" s="1"/>
  <c r="H9" i="58"/>
  <c r="H10" i="58"/>
  <c r="H11" i="58"/>
  <c r="H12" i="58"/>
  <c r="H13" i="58"/>
  <c r="H14" i="58"/>
  <c r="H15" i="58"/>
  <c r="H16" i="58"/>
  <c r="H17" i="58"/>
  <c r="H18" i="58"/>
  <c r="H19" i="58"/>
  <c r="H20" i="58"/>
  <c r="H21" i="58"/>
  <c r="H22" i="58"/>
  <c r="H23" i="58"/>
  <c r="H24" i="58"/>
  <c r="H25" i="58"/>
  <c r="H26" i="58"/>
  <c r="H27" i="58"/>
  <c r="H28" i="58"/>
  <c r="H29" i="58"/>
  <c r="H30" i="58"/>
  <c r="H31" i="58"/>
  <c r="H32" i="58"/>
  <c r="H33" i="58"/>
  <c r="H34" i="58"/>
  <c r="H35" i="58"/>
  <c r="H36" i="58"/>
  <c r="H37" i="58"/>
  <c r="H38" i="58"/>
  <c r="H39" i="58"/>
  <c r="H40" i="58"/>
  <c r="H41" i="58"/>
  <c r="H42" i="58"/>
  <c r="H43" i="58"/>
  <c r="H44" i="58"/>
  <c r="H45" i="58"/>
  <c r="H46" i="58"/>
  <c r="H47" i="58"/>
  <c r="H48" i="58"/>
  <c r="H49" i="58"/>
  <c r="H50" i="58"/>
  <c r="H51" i="58"/>
  <c r="H52" i="58"/>
  <c r="H53" i="58"/>
  <c r="H54" i="58"/>
  <c r="H55" i="58"/>
  <c r="H56" i="58"/>
  <c r="H57" i="58"/>
  <c r="H58" i="58"/>
  <c r="H59" i="58"/>
  <c r="H60" i="58"/>
  <c r="H61" i="58"/>
  <c r="H62" i="58"/>
  <c r="H63" i="58"/>
  <c r="H64" i="58"/>
  <c r="H65" i="58"/>
  <c r="H66" i="58"/>
  <c r="H67" i="58"/>
  <c r="H68" i="58"/>
  <c r="H69" i="58"/>
  <c r="H70" i="58"/>
  <c r="H71" i="58"/>
  <c r="H72" i="58"/>
  <c r="H73" i="58"/>
  <c r="H74" i="58"/>
  <c r="H75" i="58"/>
  <c r="H76" i="58"/>
  <c r="H77" i="58"/>
  <c r="H78" i="58"/>
  <c r="H79" i="58"/>
  <c r="H80" i="58"/>
  <c r="A11" i="57"/>
  <c r="D11" i="57"/>
  <c r="D12" i="57" s="1"/>
  <c r="D13" i="57" s="1"/>
  <c r="D14" i="57" s="1"/>
  <c r="D15" i="57" s="1"/>
  <c r="D16" i="57" s="1"/>
  <c r="D17" i="57" s="1"/>
  <c r="D18" i="57" s="1"/>
  <c r="D19" i="57" s="1"/>
  <c r="D20" i="57" s="1"/>
  <c r="D21" i="57" s="1"/>
  <c r="D22" i="57" s="1"/>
  <c r="D23" i="57" s="1"/>
  <c r="D24" i="57" s="1"/>
  <c r="D25" i="57" s="1"/>
  <c r="G11" i="57"/>
  <c r="J11" i="57"/>
  <c r="J12" i="57" s="1"/>
  <c r="J13" i="57" s="1"/>
  <c r="M11" i="57"/>
  <c r="A12" i="57"/>
  <c r="G12" i="57"/>
  <c r="A13" i="57"/>
  <c r="G13" i="57"/>
  <c r="A14" i="57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G14" i="57"/>
  <c r="G15" i="57" s="1"/>
  <c r="G16" i="57" s="1"/>
  <c r="G17" i="57" s="1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H46" i="56"/>
  <c r="H47" i="56"/>
  <c r="H48" i="56"/>
  <c r="H49" i="56"/>
  <c r="H50" i="56"/>
  <c r="H51" i="56"/>
  <c r="H52" i="56"/>
  <c r="H53" i="56"/>
  <c r="H54" i="56"/>
  <c r="H55" i="56"/>
  <c r="H56" i="56"/>
  <c r="H57" i="56"/>
  <c r="H58" i="56"/>
  <c r="H59" i="56"/>
  <c r="H60" i="56"/>
  <c r="H61" i="56"/>
  <c r="H62" i="56"/>
  <c r="H63" i="56"/>
  <c r="H64" i="56"/>
  <c r="H65" i="56"/>
  <c r="H66" i="56"/>
  <c r="H67" i="56"/>
  <c r="H68" i="56"/>
  <c r="H69" i="56"/>
  <c r="H70" i="56"/>
  <c r="H71" i="56"/>
  <c r="H72" i="56"/>
  <c r="H73" i="56"/>
  <c r="H74" i="56"/>
  <c r="H75" i="56"/>
  <c r="H76" i="56"/>
  <c r="H77" i="56"/>
  <c r="H78" i="56"/>
  <c r="H79" i="56"/>
  <c r="H80" i="56"/>
  <c r="A11" i="55" l="1"/>
  <c r="D11" i="55"/>
  <c r="G11" i="55"/>
  <c r="J11" i="55"/>
  <c r="M11" i="55"/>
  <c r="A12" i="55"/>
  <c r="D12" i="55"/>
  <c r="G12" i="55"/>
  <c r="J12" i="55"/>
  <c r="A13" i="55"/>
  <c r="D13" i="55"/>
  <c r="G13" i="55"/>
  <c r="J13" i="55"/>
  <c r="A14" i="55"/>
  <c r="D14" i="55"/>
  <c r="G14" i="55"/>
  <c r="A15" i="55"/>
  <c r="D15" i="55"/>
  <c r="G15" i="55"/>
  <c r="A16" i="55"/>
  <c r="D16" i="55"/>
  <c r="G16" i="55"/>
  <c r="A17" i="55"/>
  <c r="D17" i="55"/>
  <c r="G17" i="55"/>
  <c r="A18" i="55"/>
  <c r="D18" i="55"/>
  <c r="A19" i="55"/>
  <c r="D19" i="55"/>
  <c r="A20" i="55"/>
  <c r="D20" i="55"/>
  <c r="A21" i="55"/>
  <c r="D21" i="55"/>
  <c r="A22" i="55"/>
  <c r="D22" i="55"/>
  <c r="A23" i="55"/>
  <c r="D23" i="55"/>
  <c r="A24" i="55"/>
  <c r="D24" i="55"/>
  <c r="A25" i="55"/>
  <c r="D25" i="55"/>
  <c r="A26" i="55"/>
  <c r="A27" i="55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H9" i="54"/>
  <c r="H10" i="54"/>
  <c r="H11" i="54"/>
  <c r="H12" i="54"/>
  <c r="H13" i="54"/>
  <c r="H14" i="54"/>
  <c r="H15" i="54"/>
  <c r="H16" i="54"/>
  <c r="H17" i="54"/>
  <c r="H18" i="54"/>
  <c r="H19" i="54"/>
  <c r="H20" i="54"/>
  <c r="H21" i="54"/>
  <c r="H22" i="54"/>
  <c r="H23" i="54"/>
  <c r="H24" i="54"/>
  <c r="H25" i="54"/>
  <c r="H26" i="54"/>
  <c r="H27" i="54"/>
  <c r="H28" i="54"/>
  <c r="H29" i="54"/>
  <c r="H30" i="54"/>
  <c r="H31" i="54"/>
  <c r="H32" i="54"/>
  <c r="H33" i="54"/>
  <c r="H34" i="54"/>
  <c r="H35" i="54"/>
  <c r="H36" i="54"/>
  <c r="H37" i="54"/>
  <c r="H38" i="54"/>
  <c r="H39" i="54"/>
  <c r="H40" i="54"/>
  <c r="H41" i="54"/>
  <c r="H42" i="54"/>
  <c r="H43" i="54"/>
  <c r="H44" i="54"/>
  <c r="H45" i="54"/>
  <c r="H46" i="54"/>
  <c r="H47" i="54"/>
  <c r="H48" i="54"/>
  <c r="H49" i="54"/>
  <c r="H50" i="54"/>
  <c r="H51" i="54"/>
  <c r="H52" i="54"/>
  <c r="H53" i="54"/>
  <c r="H54" i="54"/>
  <c r="H55" i="54"/>
  <c r="H56" i="54"/>
  <c r="H57" i="54"/>
  <c r="H58" i="54"/>
  <c r="H59" i="54"/>
  <c r="H60" i="54"/>
  <c r="H61" i="54"/>
  <c r="H62" i="54"/>
  <c r="H63" i="54"/>
  <c r="H64" i="54"/>
  <c r="H65" i="54"/>
  <c r="H66" i="54"/>
  <c r="H67" i="54"/>
  <c r="H68" i="54"/>
  <c r="H69" i="54"/>
  <c r="H70" i="54"/>
  <c r="H71" i="54"/>
  <c r="H72" i="54"/>
  <c r="H73" i="54"/>
  <c r="H74" i="54"/>
  <c r="H75" i="54"/>
  <c r="H76" i="54"/>
  <c r="H77" i="54"/>
  <c r="H78" i="54"/>
  <c r="H79" i="54"/>
  <c r="H80" i="54"/>
  <c r="A11" i="53" l="1"/>
  <c r="D11" i="53"/>
  <c r="G11" i="53"/>
  <c r="J11" i="53"/>
  <c r="M11" i="53"/>
  <c r="A12" i="53"/>
  <c r="D12" i="53"/>
  <c r="G12" i="53"/>
  <c r="J12" i="53"/>
  <c r="A13" i="53"/>
  <c r="D13" i="53"/>
  <c r="G13" i="53"/>
  <c r="J13" i="53"/>
  <c r="A14" i="53"/>
  <c r="D14" i="53"/>
  <c r="G14" i="53"/>
  <c r="A15" i="53"/>
  <c r="D15" i="53"/>
  <c r="G15" i="53"/>
  <c r="A16" i="53"/>
  <c r="D16" i="53"/>
  <c r="G16" i="53"/>
  <c r="A17" i="53"/>
  <c r="D17" i="53"/>
  <c r="G17" i="53"/>
  <c r="A18" i="53"/>
  <c r="D18" i="53"/>
  <c r="A19" i="53"/>
  <c r="D19" i="53"/>
  <c r="A20" i="53"/>
  <c r="D20" i="53"/>
  <c r="A21" i="53"/>
  <c r="D21" i="53"/>
  <c r="A22" i="53"/>
  <c r="D22" i="53"/>
  <c r="A23" i="53"/>
  <c r="D23" i="53"/>
  <c r="A24" i="53"/>
  <c r="D24" i="53"/>
  <c r="A25" i="53"/>
  <c r="D25" i="53"/>
  <c r="A26" i="53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A38" i="53" s="1"/>
  <c r="A39" i="53" s="1"/>
  <c r="A40" i="53" s="1"/>
  <c r="A41" i="53" s="1"/>
  <c r="H9" i="52"/>
  <c r="H10" i="52"/>
  <c r="H11" i="52"/>
  <c r="H12" i="52"/>
  <c r="H13" i="52"/>
  <c r="H14" i="52"/>
  <c r="H15" i="52"/>
  <c r="H16" i="52"/>
  <c r="H17" i="52"/>
  <c r="H18" i="52"/>
  <c r="H19" i="52"/>
  <c r="H20" i="52"/>
  <c r="H21" i="52"/>
  <c r="H22" i="52"/>
  <c r="H23" i="52"/>
  <c r="H24" i="52"/>
  <c r="H25" i="52"/>
  <c r="H26" i="52"/>
  <c r="H27" i="52"/>
  <c r="H28" i="52"/>
  <c r="H29" i="52"/>
  <c r="H30" i="52"/>
  <c r="H31" i="52"/>
  <c r="H32" i="52"/>
  <c r="H33" i="52"/>
  <c r="H34" i="52"/>
  <c r="H35" i="52"/>
  <c r="H36" i="52"/>
  <c r="H37" i="52"/>
  <c r="H38" i="52"/>
  <c r="H39" i="52"/>
  <c r="H40" i="52"/>
  <c r="H41" i="52"/>
  <c r="H42" i="52"/>
  <c r="H43" i="52"/>
  <c r="H44" i="52"/>
  <c r="H45" i="52"/>
  <c r="H46" i="52"/>
  <c r="H47" i="52"/>
  <c r="H48" i="52"/>
  <c r="H49" i="52"/>
  <c r="H50" i="52"/>
  <c r="H51" i="52"/>
  <c r="H52" i="52"/>
  <c r="H53" i="52"/>
  <c r="H54" i="52"/>
  <c r="H55" i="52"/>
  <c r="H56" i="52"/>
  <c r="H57" i="52"/>
  <c r="H58" i="52"/>
  <c r="H59" i="52"/>
  <c r="H60" i="52"/>
  <c r="H61" i="52"/>
  <c r="H62" i="52"/>
  <c r="H63" i="52"/>
  <c r="H64" i="52"/>
  <c r="H65" i="52"/>
  <c r="H66" i="52"/>
  <c r="H67" i="52"/>
  <c r="H68" i="52"/>
  <c r="H69" i="52"/>
  <c r="H70" i="52"/>
  <c r="H71" i="52"/>
  <c r="H72" i="52"/>
  <c r="H73" i="52"/>
  <c r="H74" i="52"/>
  <c r="H75" i="52"/>
  <c r="H76" i="52"/>
  <c r="H77" i="52"/>
  <c r="H78" i="52"/>
  <c r="H79" i="52"/>
  <c r="H80" i="52"/>
  <c r="A11" i="51" l="1"/>
  <c r="D11" i="51"/>
  <c r="G11" i="51"/>
  <c r="J11" i="51"/>
  <c r="M11" i="51"/>
  <c r="A12" i="51"/>
  <c r="D12" i="51"/>
  <c r="G12" i="51"/>
  <c r="J12" i="51"/>
  <c r="A13" i="51"/>
  <c r="D13" i="51"/>
  <c r="G13" i="51"/>
  <c r="J13" i="51"/>
  <c r="A14" i="5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38" i="51" s="1"/>
  <c r="A39" i="51" s="1"/>
  <c r="A40" i="51" s="1"/>
  <c r="A41" i="51" s="1"/>
  <c r="D14" i="51"/>
  <c r="G14" i="51"/>
  <c r="D15" i="51"/>
  <c r="G15" i="51"/>
  <c r="D16" i="51"/>
  <c r="G16" i="51"/>
  <c r="G17" i="51" s="1"/>
  <c r="D17" i="51"/>
  <c r="D18" i="51" s="1"/>
  <c r="D19" i="51" s="1"/>
  <c r="D20" i="51" s="1"/>
  <c r="D21" i="51" s="1"/>
  <c r="D22" i="51" s="1"/>
  <c r="D23" i="51" s="1"/>
  <c r="D24" i="51" s="1"/>
  <c r="D25" i="51" s="1"/>
  <c r="H9" i="50"/>
  <c r="H10" i="50"/>
  <c r="H11" i="50"/>
  <c r="H12" i="50"/>
  <c r="H13" i="50"/>
  <c r="H14" i="50"/>
  <c r="H15" i="50"/>
  <c r="H16" i="50"/>
  <c r="H17" i="50"/>
  <c r="H18" i="50"/>
  <c r="H19" i="50"/>
  <c r="H20" i="50"/>
  <c r="H21" i="50"/>
  <c r="H22" i="50"/>
  <c r="H23" i="50"/>
  <c r="H24" i="50"/>
  <c r="H25" i="50"/>
  <c r="H26" i="50"/>
  <c r="H27" i="50"/>
  <c r="H28" i="50"/>
  <c r="H29" i="50"/>
  <c r="H30" i="50"/>
  <c r="H31" i="50"/>
  <c r="H32" i="50"/>
  <c r="H33" i="50"/>
  <c r="H34" i="50"/>
  <c r="H35" i="50"/>
  <c r="H36" i="50"/>
  <c r="H37" i="50"/>
  <c r="H38" i="50"/>
  <c r="H39" i="50"/>
  <c r="H40" i="50"/>
  <c r="H41" i="50"/>
  <c r="H42" i="50"/>
  <c r="H43" i="50"/>
  <c r="H44" i="50"/>
  <c r="H45" i="50"/>
  <c r="H46" i="50"/>
  <c r="H47" i="50"/>
  <c r="H48" i="50"/>
  <c r="H49" i="50"/>
  <c r="H50" i="50"/>
  <c r="H51" i="50"/>
  <c r="H52" i="50"/>
  <c r="H53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66" i="50"/>
  <c r="H67" i="50"/>
  <c r="H68" i="50"/>
  <c r="H69" i="50"/>
  <c r="H70" i="50"/>
  <c r="H71" i="50"/>
  <c r="H72" i="50"/>
  <c r="H73" i="50"/>
  <c r="H74" i="50"/>
  <c r="H75" i="50"/>
  <c r="H76" i="50"/>
  <c r="H77" i="50"/>
  <c r="H78" i="50"/>
  <c r="H79" i="50"/>
  <c r="H80" i="50"/>
  <c r="A11" i="49" l="1"/>
  <c r="D11" i="49"/>
  <c r="G11" i="49"/>
  <c r="J11" i="49"/>
  <c r="M11" i="49"/>
  <c r="A12" i="49"/>
  <c r="D12" i="49"/>
  <c r="G12" i="49"/>
  <c r="J12" i="49"/>
  <c r="A13" i="49"/>
  <c r="D13" i="49"/>
  <c r="G13" i="49"/>
  <c r="J13" i="49"/>
  <c r="A14" i="49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A38" i="49" s="1"/>
  <c r="A39" i="49" s="1"/>
  <c r="A40" i="49" s="1"/>
  <c r="A41" i="49" s="1"/>
  <c r="D14" i="49"/>
  <c r="G14" i="49"/>
  <c r="D15" i="49"/>
  <c r="G15" i="49"/>
  <c r="D16" i="49"/>
  <c r="G16" i="49"/>
  <c r="G17" i="49" s="1"/>
  <c r="D17" i="49"/>
  <c r="D18" i="49" s="1"/>
  <c r="D19" i="49" s="1"/>
  <c r="D20" i="49" s="1"/>
  <c r="D21" i="49" s="1"/>
  <c r="D22" i="49" s="1"/>
  <c r="D23" i="49" s="1"/>
  <c r="D24" i="49" s="1"/>
  <c r="D25" i="49" s="1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33" i="48"/>
  <c r="H34" i="48"/>
  <c r="H35" i="48"/>
  <c r="H36" i="48"/>
  <c r="H37" i="48"/>
  <c r="H38" i="48"/>
  <c r="H39" i="48"/>
  <c r="H40" i="48"/>
  <c r="H41" i="48"/>
  <c r="H42" i="48"/>
  <c r="H43" i="48"/>
  <c r="H44" i="48"/>
  <c r="H45" i="48"/>
  <c r="H46" i="48"/>
  <c r="H47" i="48"/>
  <c r="H48" i="48"/>
  <c r="H49" i="48"/>
  <c r="H50" i="48"/>
  <c r="H51" i="48"/>
  <c r="H52" i="48"/>
  <c r="H53" i="48"/>
  <c r="H54" i="48"/>
  <c r="H55" i="48"/>
  <c r="H56" i="48"/>
  <c r="H57" i="48"/>
  <c r="H58" i="48"/>
  <c r="H59" i="48"/>
  <c r="H60" i="48"/>
  <c r="H61" i="48"/>
  <c r="H62" i="48"/>
  <c r="H63" i="48"/>
  <c r="H64" i="48"/>
  <c r="H65" i="48"/>
  <c r="H66" i="48"/>
  <c r="H67" i="48"/>
  <c r="H68" i="48"/>
  <c r="H69" i="48"/>
  <c r="H70" i="48"/>
  <c r="H71" i="48"/>
  <c r="H72" i="48"/>
  <c r="H73" i="48"/>
  <c r="H74" i="48"/>
  <c r="H75" i="48"/>
  <c r="H76" i="48"/>
  <c r="H77" i="48"/>
  <c r="H78" i="48"/>
  <c r="H79" i="48"/>
  <c r="H80" i="48"/>
  <c r="A11" i="47" l="1"/>
  <c r="D11" i="47"/>
  <c r="G11" i="47"/>
  <c r="J11" i="47"/>
  <c r="M11" i="47"/>
  <c r="A12" i="47"/>
  <c r="D12" i="47"/>
  <c r="G12" i="47"/>
  <c r="J12" i="47"/>
  <c r="A13" i="47"/>
  <c r="D13" i="47"/>
  <c r="G13" i="47"/>
  <c r="J13" i="47"/>
  <c r="A14" i="47"/>
  <c r="D14" i="47"/>
  <c r="G14" i="47"/>
  <c r="A15" i="47"/>
  <c r="D15" i="47"/>
  <c r="G15" i="47"/>
  <c r="G16" i="47" s="1"/>
  <c r="G17" i="47" s="1"/>
  <c r="A16" i="47"/>
  <c r="D16" i="47"/>
  <c r="A17" i="47"/>
  <c r="D17" i="47"/>
  <c r="A18" i="47"/>
  <c r="D18" i="47"/>
  <c r="A19" i="47"/>
  <c r="D19" i="47"/>
  <c r="A20" i="47"/>
  <c r="D20" i="47"/>
  <c r="A21" i="47"/>
  <c r="D21" i="47"/>
  <c r="A22" i="47"/>
  <c r="D22" i="47"/>
  <c r="A23" i="47"/>
  <c r="D23" i="47"/>
  <c r="A24" i="47"/>
  <c r="D24" i="47"/>
  <c r="A25" i="47"/>
  <c r="D25" i="47"/>
  <c r="A26" i="47"/>
  <c r="A27" i="47"/>
  <c r="A28" i="47" s="1"/>
  <c r="A29" i="47" s="1"/>
  <c r="A30" i="47" s="1"/>
  <c r="A31" i="47" s="1"/>
  <c r="A32" i="47" s="1"/>
  <c r="A33" i="47" s="1"/>
  <c r="A34" i="47" s="1"/>
  <c r="A35" i="47" s="1"/>
  <c r="A36" i="47" s="1"/>
  <c r="A37" i="47" s="1"/>
  <c r="A38" i="47" s="1"/>
  <c r="A39" i="47" s="1"/>
  <c r="A40" i="47" s="1"/>
  <c r="A41" i="47" s="1"/>
  <c r="H9" i="46"/>
  <c r="H10" i="46"/>
  <c r="H11" i="46"/>
  <c r="H12" i="46"/>
  <c r="H13" i="46"/>
  <c r="H14" i="46"/>
  <c r="H15" i="46"/>
  <c r="H16" i="46"/>
  <c r="H17" i="46"/>
  <c r="H18" i="46"/>
  <c r="H19" i="46"/>
  <c r="H20" i="46"/>
  <c r="H21" i="46"/>
  <c r="H22" i="46"/>
  <c r="H23" i="46"/>
  <c r="H24" i="46"/>
  <c r="H25" i="46"/>
  <c r="H26" i="46"/>
  <c r="H27" i="46"/>
  <c r="H28" i="46"/>
  <c r="H29" i="46"/>
  <c r="H30" i="46"/>
  <c r="H31" i="46"/>
  <c r="H32" i="46"/>
  <c r="H33" i="46"/>
  <c r="H34" i="46"/>
  <c r="H35" i="46"/>
  <c r="H36" i="46"/>
  <c r="H37" i="46"/>
  <c r="H38" i="46"/>
  <c r="H39" i="46"/>
  <c r="H40" i="46"/>
  <c r="H41" i="46"/>
  <c r="H42" i="46"/>
  <c r="H43" i="46"/>
  <c r="H44" i="46"/>
  <c r="H45" i="46"/>
  <c r="H46" i="46"/>
  <c r="H47" i="46"/>
  <c r="H48" i="46"/>
  <c r="H49" i="46"/>
  <c r="H50" i="46"/>
  <c r="H51" i="46"/>
  <c r="H52" i="46"/>
  <c r="H53" i="46"/>
  <c r="H54" i="46"/>
  <c r="H55" i="46"/>
  <c r="H56" i="46"/>
  <c r="H57" i="46"/>
  <c r="H58" i="46"/>
  <c r="H59" i="46"/>
  <c r="H60" i="46"/>
  <c r="H61" i="46"/>
  <c r="H62" i="46"/>
  <c r="H63" i="46"/>
  <c r="H64" i="46"/>
  <c r="H65" i="46"/>
  <c r="H66" i="46"/>
  <c r="H67" i="46"/>
  <c r="H68" i="46"/>
  <c r="H69" i="46"/>
  <c r="H70" i="46"/>
  <c r="H71" i="46"/>
  <c r="H72" i="46"/>
  <c r="H73" i="46"/>
  <c r="H74" i="46"/>
  <c r="H75" i="46"/>
  <c r="H76" i="46"/>
  <c r="H77" i="46"/>
  <c r="H78" i="46"/>
  <c r="H79" i="46"/>
  <c r="H80" i="46"/>
  <c r="A11" i="45" l="1"/>
  <c r="D11" i="45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G11" i="45"/>
  <c r="J11" i="45"/>
  <c r="J12" i="45" s="1"/>
  <c r="J13" i="45" s="1"/>
  <c r="M11" i="45"/>
  <c r="A12" i="45"/>
  <c r="G12" i="45"/>
  <c r="A13" i="45"/>
  <c r="G13" i="45"/>
  <c r="A14" i="45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G14" i="45"/>
  <c r="G15" i="45" s="1"/>
  <c r="G16" i="45" s="1"/>
  <c r="G17" i="45" s="1"/>
  <c r="H9" i="44"/>
  <c r="H10" i="44"/>
  <c r="H11" i="44"/>
  <c r="H12" i="44"/>
  <c r="H13" i="44"/>
  <c r="H14" i="44"/>
  <c r="H15" i="44"/>
  <c r="H16" i="44"/>
  <c r="H17" i="44"/>
  <c r="H18" i="44"/>
  <c r="H19" i="44"/>
  <c r="H20" i="44"/>
  <c r="H21" i="44"/>
  <c r="H22" i="44"/>
  <c r="H23" i="44"/>
  <c r="H24" i="44"/>
  <c r="H25" i="44"/>
  <c r="H26" i="44"/>
  <c r="H27" i="44"/>
  <c r="H28" i="44"/>
  <c r="H29" i="44"/>
  <c r="H30" i="44"/>
  <c r="H31" i="44"/>
  <c r="H32" i="44"/>
  <c r="H33" i="44"/>
  <c r="H34" i="44"/>
  <c r="H35" i="44"/>
  <c r="H36" i="44"/>
  <c r="H37" i="44"/>
  <c r="H38" i="44"/>
  <c r="H39" i="44"/>
  <c r="H40" i="44"/>
  <c r="H41" i="44"/>
  <c r="H42" i="44"/>
  <c r="H43" i="44"/>
  <c r="H44" i="44"/>
  <c r="H45" i="44"/>
  <c r="H46" i="44"/>
  <c r="H47" i="44"/>
  <c r="H48" i="44"/>
  <c r="H49" i="44"/>
  <c r="H50" i="44"/>
  <c r="H51" i="44"/>
  <c r="H52" i="44"/>
  <c r="H53" i="44"/>
  <c r="H54" i="44"/>
  <c r="H55" i="44"/>
  <c r="H56" i="44"/>
  <c r="H57" i="44"/>
  <c r="H58" i="44"/>
  <c r="H59" i="44"/>
  <c r="H60" i="44"/>
  <c r="H61" i="44"/>
  <c r="H62" i="44"/>
  <c r="H63" i="44"/>
  <c r="H64" i="44"/>
  <c r="H65" i="44"/>
  <c r="H66" i="44"/>
  <c r="H67" i="44"/>
  <c r="H68" i="44"/>
  <c r="H69" i="44"/>
  <c r="H70" i="44"/>
  <c r="H71" i="44"/>
  <c r="H72" i="44"/>
  <c r="H73" i="44"/>
  <c r="H74" i="44"/>
  <c r="H75" i="44"/>
  <c r="H76" i="44"/>
  <c r="H77" i="44"/>
  <c r="H78" i="44"/>
  <c r="H79" i="44"/>
  <c r="H80" i="44"/>
  <c r="A11" i="43" l="1"/>
  <c r="D11" i="43"/>
  <c r="D12" i="43" s="1"/>
  <c r="D13" i="43" s="1"/>
  <c r="D14" i="43" s="1"/>
  <c r="D15" i="43" s="1"/>
  <c r="D16" i="43" s="1"/>
  <c r="D17" i="43" s="1"/>
  <c r="D18" i="43" s="1"/>
  <c r="D19" i="43" s="1"/>
  <c r="D20" i="43" s="1"/>
  <c r="D21" i="43" s="1"/>
  <c r="D22" i="43" s="1"/>
  <c r="D23" i="43" s="1"/>
  <c r="D24" i="43" s="1"/>
  <c r="D25" i="43" s="1"/>
  <c r="G11" i="43"/>
  <c r="J11" i="43"/>
  <c r="J12" i="43" s="1"/>
  <c r="J13" i="43" s="1"/>
  <c r="M11" i="43"/>
  <c r="A12" i="43"/>
  <c r="G12" i="43"/>
  <c r="A13" i="43"/>
  <c r="G13" i="43"/>
  <c r="A14" i="43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G14" i="43"/>
  <c r="G15" i="43" s="1"/>
  <c r="G16" i="43" s="1"/>
  <c r="G17" i="43" s="1"/>
  <c r="H9" i="42"/>
  <c r="H10" i="42"/>
  <c r="H11" i="42"/>
  <c r="H12" i="42"/>
  <c r="H13" i="42"/>
  <c r="H14" i="42"/>
  <c r="H15" i="42"/>
  <c r="H16" i="42"/>
  <c r="H17" i="42"/>
  <c r="H18" i="42"/>
  <c r="H19" i="42"/>
  <c r="H20" i="42"/>
  <c r="H21" i="42"/>
  <c r="H22" i="42"/>
  <c r="H23" i="42"/>
  <c r="H24" i="42"/>
  <c r="H25" i="42"/>
  <c r="H26" i="42"/>
  <c r="H27" i="42"/>
  <c r="H28" i="42"/>
  <c r="H29" i="42"/>
  <c r="H30" i="42"/>
  <c r="H31" i="42"/>
  <c r="H32" i="42"/>
  <c r="H33" i="42"/>
  <c r="H34" i="42"/>
  <c r="H35" i="42"/>
  <c r="H36" i="42"/>
  <c r="H37" i="42"/>
  <c r="H38" i="42"/>
  <c r="H39" i="42"/>
  <c r="H40" i="42"/>
  <c r="H41" i="42"/>
  <c r="H42" i="42"/>
  <c r="H43" i="42"/>
  <c r="H44" i="42"/>
  <c r="H45" i="42"/>
  <c r="H46" i="42"/>
  <c r="H47" i="42"/>
  <c r="H48" i="42"/>
  <c r="H49" i="42"/>
  <c r="H50" i="42"/>
  <c r="H51" i="42"/>
  <c r="H52" i="42"/>
  <c r="H53" i="42"/>
  <c r="H54" i="42"/>
  <c r="H55" i="42"/>
  <c r="H56" i="42"/>
  <c r="H57" i="42"/>
  <c r="H58" i="42"/>
  <c r="H59" i="42"/>
  <c r="H60" i="42"/>
  <c r="H61" i="42"/>
  <c r="H62" i="42"/>
  <c r="H63" i="42"/>
  <c r="H64" i="42"/>
  <c r="H65" i="42"/>
  <c r="H66" i="42"/>
  <c r="H67" i="42"/>
  <c r="H68" i="42"/>
  <c r="H69" i="42"/>
  <c r="H70" i="42"/>
  <c r="H71" i="42"/>
  <c r="H72" i="42"/>
  <c r="H73" i="42"/>
  <c r="H74" i="42"/>
  <c r="H75" i="42"/>
  <c r="H76" i="42"/>
  <c r="H77" i="42"/>
  <c r="H78" i="42"/>
  <c r="H79" i="42"/>
  <c r="H80" i="42"/>
  <c r="A11" i="41" l="1"/>
  <c r="D11" i="41"/>
  <c r="G11" i="41"/>
  <c r="J11" i="41"/>
  <c r="M11" i="41"/>
  <c r="A12" i="41"/>
  <c r="D12" i="41"/>
  <c r="G12" i="41"/>
  <c r="J12" i="41"/>
  <c r="A13" i="41"/>
  <c r="D13" i="41"/>
  <c r="G13" i="41"/>
  <c r="J13" i="41"/>
  <c r="A14" i="41"/>
  <c r="D14" i="41"/>
  <c r="G14" i="41"/>
  <c r="A15" i="41"/>
  <c r="D15" i="41"/>
  <c r="G15" i="41"/>
  <c r="A16" i="41"/>
  <c r="D16" i="41"/>
  <c r="G16" i="41"/>
  <c r="A17" i="41"/>
  <c r="D17" i="41"/>
  <c r="G17" i="41"/>
  <c r="A18" i="41"/>
  <c r="D18" i="41"/>
  <c r="A19" i="41"/>
  <c r="D19" i="41"/>
  <c r="A20" i="41"/>
  <c r="D20" i="41"/>
  <c r="A21" i="41"/>
  <c r="D21" i="41"/>
  <c r="A22" i="41"/>
  <c r="D22" i="41"/>
  <c r="A23" i="41"/>
  <c r="D23" i="41"/>
  <c r="A24" i="41"/>
  <c r="D24" i="41"/>
  <c r="A25" i="41"/>
  <c r="D25" i="41"/>
  <c r="A26" i="41"/>
  <c r="A27" i="4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23" i="40"/>
  <c r="H24" i="40"/>
  <c r="H25" i="40"/>
  <c r="H26" i="40"/>
  <c r="H27" i="40"/>
  <c r="H28" i="40"/>
  <c r="H29" i="40"/>
  <c r="H30" i="40"/>
  <c r="H31" i="40"/>
  <c r="H32" i="40"/>
  <c r="H33" i="40"/>
  <c r="H34" i="40"/>
  <c r="H35" i="40"/>
  <c r="H36" i="40"/>
  <c r="H37" i="40"/>
  <c r="H38" i="40"/>
  <c r="H39" i="40"/>
  <c r="H40" i="40"/>
  <c r="H41" i="40"/>
  <c r="H42" i="40"/>
  <c r="H43" i="40"/>
  <c r="H44" i="40"/>
  <c r="H45" i="40"/>
  <c r="H46" i="40"/>
  <c r="H47" i="40"/>
  <c r="H48" i="40"/>
  <c r="H49" i="40"/>
  <c r="H50" i="40"/>
  <c r="H51" i="40"/>
  <c r="H52" i="40"/>
  <c r="H53" i="40"/>
  <c r="H54" i="40"/>
  <c r="H55" i="40"/>
  <c r="H56" i="40"/>
  <c r="H57" i="40"/>
  <c r="H58" i="40"/>
  <c r="H59" i="40"/>
  <c r="H60" i="40"/>
  <c r="H61" i="40"/>
  <c r="H62" i="40"/>
  <c r="H63" i="40"/>
  <c r="H64" i="40"/>
  <c r="H65" i="40"/>
  <c r="H66" i="40"/>
  <c r="H67" i="40"/>
  <c r="H68" i="40"/>
  <c r="H69" i="40"/>
  <c r="H70" i="40"/>
  <c r="H71" i="40"/>
  <c r="H72" i="40"/>
  <c r="H73" i="40"/>
  <c r="H74" i="40"/>
  <c r="H75" i="40"/>
  <c r="H76" i="40"/>
  <c r="H77" i="40"/>
  <c r="H78" i="40"/>
  <c r="H79" i="40"/>
  <c r="H80" i="40"/>
  <c r="A11" i="39" l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D11" i="39"/>
  <c r="G11" i="39"/>
  <c r="G12" i="39" s="1"/>
  <c r="G13" i="39" s="1"/>
  <c r="G14" i="39" s="1"/>
  <c r="G15" i="39" s="1"/>
  <c r="G16" i="39" s="1"/>
  <c r="G17" i="39" s="1"/>
  <c r="J11" i="39"/>
  <c r="M11" i="39"/>
  <c r="D12" i="39"/>
  <c r="J12" i="39"/>
  <c r="D13" i="39"/>
  <c r="J13" i="39"/>
  <c r="D14" i="39"/>
  <c r="D15" i="39" s="1"/>
  <c r="D16" i="39" s="1"/>
  <c r="D17" i="39" s="1"/>
  <c r="D18" i="39" s="1"/>
  <c r="D19" i="39" s="1"/>
  <c r="D20" i="39" s="1"/>
  <c r="D21" i="39" s="1"/>
  <c r="D22" i="39" s="1"/>
  <c r="D23" i="39" s="1"/>
  <c r="D24" i="39" s="1"/>
  <c r="D25" i="39" s="1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33" i="38"/>
  <c r="H34" i="38"/>
  <c r="H35" i="38"/>
  <c r="H36" i="38"/>
  <c r="H37" i="38"/>
  <c r="H38" i="38"/>
  <c r="H39" i="38"/>
  <c r="H40" i="38"/>
  <c r="H41" i="38"/>
  <c r="H42" i="38"/>
  <c r="H43" i="38"/>
  <c r="H44" i="38"/>
  <c r="H45" i="38"/>
  <c r="H46" i="38"/>
  <c r="H47" i="38"/>
  <c r="H48" i="38"/>
  <c r="H49" i="38"/>
  <c r="H50" i="38"/>
  <c r="H51" i="38"/>
  <c r="H52" i="38"/>
  <c r="H53" i="38"/>
  <c r="H54" i="38"/>
  <c r="H55" i="38"/>
  <c r="H56" i="38"/>
  <c r="H57" i="38"/>
  <c r="H58" i="38"/>
  <c r="H59" i="38"/>
  <c r="H60" i="38"/>
  <c r="H61" i="38"/>
  <c r="H62" i="38"/>
  <c r="H63" i="38"/>
  <c r="H64" i="38"/>
  <c r="H65" i="38"/>
  <c r="H66" i="38"/>
  <c r="H67" i="38"/>
  <c r="H68" i="38"/>
  <c r="H69" i="38"/>
  <c r="H70" i="38"/>
  <c r="H71" i="38"/>
  <c r="H72" i="38"/>
  <c r="H73" i="38"/>
  <c r="H74" i="38"/>
  <c r="H75" i="38"/>
  <c r="H76" i="38"/>
  <c r="H77" i="38"/>
  <c r="H78" i="38"/>
  <c r="H79" i="38"/>
  <c r="H80" i="38"/>
  <c r="A7" i="37" l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11" i="36"/>
  <c r="D11" i="36"/>
  <c r="G11" i="36"/>
  <c r="J11" i="36"/>
  <c r="M11" i="36"/>
  <c r="A12" i="36"/>
  <c r="D12" i="36"/>
  <c r="G12" i="36"/>
  <c r="J12" i="36"/>
  <c r="A13" i="36"/>
  <c r="D13" i="36"/>
  <c r="G13" i="36"/>
  <c r="J13" i="36"/>
  <c r="A14" i="36"/>
  <c r="D14" i="36"/>
  <c r="G14" i="36"/>
  <c r="A15" i="36"/>
  <c r="D15" i="36"/>
  <c r="G15" i="36"/>
  <c r="A16" i="36"/>
  <c r="D16" i="36"/>
  <c r="G16" i="36"/>
  <c r="A17" i="36"/>
  <c r="D17" i="36"/>
  <c r="G17" i="36"/>
  <c r="A18" i="36"/>
  <c r="D18" i="36"/>
  <c r="A19" i="36"/>
  <c r="D19" i="36"/>
  <c r="A20" i="36"/>
  <c r="D20" i="36"/>
  <c r="A21" i="36"/>
  <c r="D21" i="36"/>
  <c r="A22" i="36"/>
  <c r="D22" i="36"/>
  <c r="A23" i="36"/>
  <c r="D23" i="36"/>
  <c r="A24" i="36"/>
  <c r="D24" i="36"/>
  <c r="A25" i="36"/>
  <c r="D25" i="36"/>
  <c r="A26" i="36"/>
  <c r="A27" i="36"/>
  <c r="A28" i="36"/>
  <c r="A29" i="36"/>
  <c r="A30" i="36"/>
  <c r="A31" i="36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A11" i="34" l="1"/>
  <c r="D11" i="34"/>
  <c r="D12" i="34" s="1"/>
  <c r="D13" i="34" s="1"/>
  <c r="D14" i="34" s="1"/>
  <c r="D15" i="34" s="1"/>
  <c r="D16" i="34" s="1"/>
  <c r="D17" i="34" s="1"/>
  <c r="D18" i="34" s="1"/>
  <c r="D19" i="34" s="1"/>
  <c r="D20" i="34" s="1"/>
  <c r="D21" i="34" s="1"/>
  <c r="D22" i="34" s="1"/>
  <c r="D23" i="34" s="1"/>
  <c r="D24" i="34" s="1"/>
  <c r="D25" i="34" s="1"/>
  <c r="G11" i="34"/>
  <c r="J11" i="34"/>
  <c r="J12" i="34" s="1"/>
  <c r="J13" i="34" s="1"/>
  <c r="M11" i="34"/>
  <c r="A12" i="34"/>
  <c r="G12" i="34"/>
  <c r="A13" i="34"/>
  <c r="G13" i="34"/>
  <c r="A14" i="34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G14" i="34"/>
  <c r="G15" i="34" s="1"/>
  <c r="G16" i="34" s="1"/>
  <c r="G17" i="34" s="1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47" i="33"/>
  <c r="H48" i="33"/>
  <c r="H49" i="33"/>
  <c r="H50" i="33"/>
  <c r="H51" i="33"/>
  <c r="H52" i="33"/>
  <c r="H53" i="33"/>
  <c r="H54" i="33"/>
  <c r="H55" i="33"/>
  <c r="H56" i="33"/>
  <c r="H57" i="33"/>
  <c r="H58" i="33"/>
  <c r="H59" i="33"/>
  <c r="H60" i="33"/>
  <c r="H61" i="33"/>
  <c r="H62" i="33"/>
  <c r="H63" i="33"/>
  <c r="H64" i="33"/>
  <c r="H65" i="33"/>
  <c r="H66" i="33"/>
  <c r="H67" i="33"/>
  <c r="H68" i="33"/>
  <c r="H69" i="33"/>
  <c r="H70" i="33"/>
  <c r="H71" i="33"/>
  <c r="H72" i="33"/>
  <c r="H73" i="33"/>
  <c r="H74" i="33"/>
  <c r="H75" i="33"/>
  <c r="H76" i="33"/>
  <c r="H77" i="33"/>
  <c r="H78" i="33"/>
  <c r="H79" i="33"/>
  <c r="H80" i="33"/>
  <c r="A11" i="32" l="1"/>
  <c r="D11" i="32"/>
  <c r="G11" i="32"/>
  <c r="J11" i="32"/>
  <c r="M11" i="32"/>
  <c r="A12" i="32"/>
  <c r="D12" i="32"/>
  <c r="G12" i="32"/>
  <c r="J12" i="32"/>
  <c r="A13" i="32"/>
  <c r="D13" i="32"/>
  <c r="G13" i="32"/>
  <c r="J13" i="32"/>
  <c r="A14" i="32"/>
  <c r="D14" i="32"/>
  <c r="G14" i="32"/>
  <c r="A15" i="32"/>
  <c r="D15" i="32"/>
  <c r="G15" i="32"/>
  <c r="A16" i="32"/>
  <c r="D16" i="32"/>
  <c r="G16" i="32"/>
  <c r="A17" i="32"/>
  <c r="D17" i="32"/>
  <c r="G17" i="32"/>
  <c r="A18" i="32"/>
  <c r="D18" i="32"/>
  <c r="A19" i="32"/>
  <c r="D19" i="32"/>
  <c r="A20" i="32"/>
  <c r="D20" i="32"/>
  <c r="A21" i="32"/>
  <c r="D21" i="32"/>
  <c r="A22" i="32"/>
  <c r="D22" i="32"/>
  <c r="A23" i="32"/>
  <c r="D23" i="32"/>
  <c r="A24" i="32"/>
  <c r="D24" i="32"/>
  <c r="A25" i="32"/>
  <c r="D25" i="32"/>
  <c r="A26" i="32"/>
  <c r="A27" i="32"/>
  <c r="A28" i="32"/>
  <c r="A29" i="32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A11" i="30" l="1"/>
  <c r="D11" i="30"/>
  <c r="G11" i="30"/>
  <c r="J11" i="30"/>
  <c r="M11" i="30"/>
  <c r="A12" i="30"/>
  <c r="D12" i="30"/>
  <c r="G12" i="30"/>
  <c r="J12" i="30"/>
  <c r="A13" i="30"/>
  <c r="D13" i="30"/>
  <c r="G13" i="30"/>
  <c r="J13" i="30"/>
  <c r="A14" i="30"/>
  <c r="D14" i="30"/>
  <c r="G14" i="30"/>
  <c r="A15" i="30"/>
  <c r="D15" i="30"/>
  <c r="G15" i="30"/>
  <c r="A16" i="30"/>
  <c r="D16" i="30"/>
  <c r="G16" i="30"/>
  <c r="A17" i="30"/>
  <c r="D17" i="30"/>
  <c r="G17" i="30"/>
  <c r="A18" i="30"/>
  <c r="D18" i="30"/>
  <c r="A19" i="30"/>
  <c r="D19" i="30"/>
  <c r="A20" i="30"/>
  <c r="D20" i="30"/>
  <c r="A21" i="30"/>
  <c r="D21" i="30"/>
  <c r="A22" i="30"/>
  <c r="D22" i="30"/>
  <c r="A23" i="30"/>
  <c r="D23" i="30"/>
  <c r="A24" i="30"/>
  <c r="D24" i="30"/>
  <c r="A25" i="30"/>
  <c r="D25" i="30"/>
  <c r="A26" i="30"/>
  <c r="A27" i="30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69" i="29"/>
  <c r="H70" i="29"/>
  <c r="H71" i="29"/>
  <c r="H72" i="29"/>
  <c r="H73" i="29"/>
  <c r="H74" i="29"/>
  <c r="H75" i="29"/>
  <c r="H76" i="29"/>
  <c r="H77" i="29"/>
  <c r="H78" i="29"/>
  <c r="H79" i="29"/>
  <c r="H80" i="29"/>
  <c r="A11" i="28" l="1"/>
  <c r="D11" i="28"/>
  <c r="G11" i="28"/>
  <c r="J11" i="28"/>
  <c r="M11" i="28"/>
  <c r="A12" i="28"/>
  <c r="D12" i="28"/>
  <c r="G12" i="28"/>
  <c r="J12" i="28"/>
  <c r="A13" i="28"/>
  <c r="D13" i="28"/>
  <c r="G13" i="28"/>
  <c r="J13" i="28"/>
  <c r="A14" i="28"/>
  <c r="D14" i="28"/>
  <c r="G14" i="28"/>
  <c r="A15" i="28"/>
  <c r="D15" i="28"/>
  <c r="G15" i="28"/>
  <c r="A16" i="28"/>
  <c r="D16" i="28"/>
  <c r="G16" i="28"/>
  <c r="A17" i="28"/>
  <c r="D17" i="28"/>
  <c r="G17" i="28"/>
  <c r="A18" i="28"/>
  <c r="D18" i="28"/>
  <c r="A19" i="28"/>
  <c r="D19" i="28"/>
  <c r="A20" i="28"/>
  <c r="D20" i="28"/>
  <c r="A21" i="28"/>
  <c r="D21" i="28"/>
  <c r="A22" i="28"/>
  <c r="D22" i="28"/>
  <c r="A23" i="28"/>
  <c r="D23" i="28"/>
  <c r="A24" i="28"/>
  <c r="D24" i="28"/>
  <c r="A25" i="28"/>
  <c r="D25" i="28"/>
  <c r="A26" i="28"/>
  <c r="A27" i="28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A11" i="26" l="1"/>
  <c r="D11" i="26"/>
  <c r="G11" i="26"/>
  <c r="J11" i="26"/>
  <c r="M11" i="26"/>
  <c r="A12" i="26"/>
  <c r="D12" i="26"/>
  <c r="G12" i="26"/>
  <c r="J12" i="26"/>
  <c r="A13" i="26"/>
  <c r="D13" i="26"/>
  <c r="G13" i="26"/>
  <c r="J13" i="26"/>
  <c r="A14" i="26"/>
  <c r="D14" i="26"/>
  <c r="G14" i="26"/>
  <c r="A15" i="26"/>
  <c r="D15" i="26"/>
  <c r="G15" i="26"/>
  <c r="A16" i="26"/>
  <c r="D16" i="26"/>
  <c r="G16" i="26"/>
  <c r="A17" i="26"/>
  <c r="D17" i="26"/>
  <c r="G17" i="26"/>
  <c r="A18" i="26"/>
  <c r="D18" i="26"/>
  <c r="A19" i="26"/>
  <c r="D19" i="26"/>
  <c r="A20" i="26"/>
  <c r="D20" i="26"/>
  <c r="A21" i="26"/>
  <c r="D21" i="26"/>
  <c r="A22" i="26"/>
  <c r="D22" i="26"/>
  <c r="A23" i="26"/>
  <c r="D23" i="26"/>
  <c r="A24" i="26"/>
  <c r="D24" i="26"/>
  <c r="A25" i="26"/>
  <c r="D25" i="26"/>
  <c r="A26" i="26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A11" i="24" l="1"/>
  <c r="D11" i="24"/>
  <c r="D12" i="24" s="1"/>
  <c r="D13" i="24" s="1"/>
  <c r="D14" i="24" s="1"/>
  <c r="D15" i="24" s="1"/>
  <c r="D16" i="24" s="1"/>
  <c r="D17" i="24" s="1"/>
  <c r="D18" i="24" s="1"/>
  <c r="D19" i="24" s="1"/>
  <c r="D20" i="24" s="1"/>
  <c r="D21" i="24" s="1"/>
  <c r="D22" i="24" s="1"/>
  <c r="D23" i="24" s="1"/>
  <c r="D24" i="24" s="1"/>
  <c r="D25" i="24" s="1"/>
  <c r="G11" i="24"/>
  <c r="J11" i="24"/>
  <c r="J12" i="24" s="1"/>
  <c r="J13" i="24" s="1"/>
  <c r="M11" i="24"/>
  <c r="A12" i="24"/>
  <c r="G12" i="24"/>
  <c r="A13" i="24"/>
  <c r="G13" i="24"/>
  <c r="A14" i="24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G14" i="24"/>
  <c r="G15" i="24" s="1"/>
  <c r="G16" i="24" s="1"/>
  <c r="G17" i="24" s="1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A11" i="22" l="1"/>
  <c r="D11" i="22"/>
  <c r="G11" i="22"/>
  <c r="J11" i="22"/>
  <c r="M11" i="22"/>
  <c r="A12" i="22"/>
  <c r="D12" i="22"/>
  <c r="G12" i="22"/>
  <c r="J12" i="22"/>
  <c r="A13" i="22"/>
  <c r="D13" i="22"/>
  <c r="G13" i="22"/>
  <c r="J13" i="22"/>
  <c r="A14" i="22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D14" i="22"/>
  <c r="G14" i="22"/>
  <c r="D15" i="22"/>
  <c r="G15" i="22"/>
  <c r="D16" i="22"/>
  <c r="G16" i="22"/>
  <c r="G17" i="22" s="1"/>
  <c r="D17" i="22"/>
  <c r="D18" i="22"/>
  <c r="D19" i="22"/>
  <c r="D20" i="22"/>
  <c r="D21" i="22"/>
  <c r="D22" i="22"/>
  <c r="D23" i="22"/>
  <c r="D24" i="22"/>
  <c r="D25" i="22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A11" i="19" l="1"/>
  <c r="D11" i="19"/>
  <c r="D12" i="19" s="1"/>
  <c r="D13" i="19" s="1"/>
  <c r="D14" i="19" s="1"/>
  <c r="D15" i="19" s="1"/>
  <c r="D16" i="19" s="1"/>
  <c r="D17" i="19" s="1"/>
  <c r="D18" i="19" s="1"/>
  <c r="D19" i="19" s="1"/>
  <c r="D20" i="19" s="1"/>
  <c r="D21" i="19" s="1"/>
  <c r="D22" i="19" s="1"/>
  <c r="D23" i="19" s="1"/>
  <c r="D24" i="19" s="1"/>
  <c r="D25" i="19" s="1"/>
  <c r="G11" i="19"/>
  <c r="J11" i="19"/>
  <c r="J12" i="19" s="1"/>
  <c r="J13" i="19" s="1"/>
  <c r="M11" i="19"/>
  <c r="A12" i="19"/>
  <c r="G12" i="19"/>
  <c r="A13" i="19"/>
  <c r="G13" i="19"/>
  <c r="A14" i="19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G14" i="19"/>
  <c r="G15" i="19" s="1"/>
  <c r="G16" i="19" s="1"/>
  <c r="G17" i="19" s="1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A11" i="17" l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D11" i="17"/>
  <c r="G11" i="17"/>
  <c r="G12" i="17" s="1"/>
  <c r="G13" i="17" s="1"/>
  <c r="G14" i="17" s="1"/>
  <c r="G15" i="17" s="1"/>
  <c r="G16" i="17" s="1"/>
  <c r="G17" i="17" s="1"/>
  <c r="J11" i="17"/>
  <c r="M11" i="17"/>
  <c r="D12" i="17"/>
  <c r="J12" i="17"/>
  <c r="D13" i="17"/>
  <c r="J13" i="17"/>
  <c r="D14" i="17"/>
  <c r="D15" i="17" s="1"/>
  <c r="D16" i="17" s="1"/>
  <c r="D17" i="17" s="1"/>
  <c r="D18" i="17" s="1"/>
  <c r="D19" i="17" s="1"/>
  <c r="D20" i="17" s="1"/>
  <c r="D21" i="17" s="1"/>
  <c r="D22" i="17" s="1"/>
  <c r="D23" i="17" s="1"/>
  <c r="D24" i="17" s="1"/>
  <c r="D25" i="17" s="1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A11" i="15" l="1"/>
  <c r="D11" i="15"/>
  <c r="D12" i="15" s="1"/>
  <c r="D13" i="15" s="1"/>
  <c r="D14" i="15" s="1"/>
  <c r="D15" i="15" s="1"/>
  <c r="D16" i="15" s="1"/>
  <c r="D17" i="15" s="1"/>
  <c r="D18" i="15" s="1"/>
  <c r="D19" i="15" s="1"/>
  <c r="D20" i="15" s="1"/>
  <c r="D21" i="15" s="1"/>
  <c r="D22" i="15" s="1"/>
  <c r="D23" i="15" s="1"/>
  <c r="D24" i="15" s="1"/>
  <c r="D25" i="15" s="1"/>
  <c r="G11" i="15"/>
  <c r="J11" i="15"/>
  <c r="J12" i="15" s="1"/>
  <c r="J13" i="15" s="1"/>
  <c r="M11" i="15"/>
  <c r="A12" i="15"/>
  <c r="G12" i="15"/>
  <c r="A13" i="15"/>
  <c r="G13" i="15"/>
  <c r="A14" i="15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G14" i="15"/>
  <c r="G15" i="15" s="1"/>
  <c r="G16" i="15" s="1"/>
  <c r="G17" i="15" s="1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A11" i="13" l="1"/>
  <c r="D11" i="13"/>
  <c r="G11" i="13"/>
  <c r="J11" i="13"/>
  <c r="M11" i="13"/>
  <c r="A12" i="13"/>
  <c r="D12" i="13"/>
  <c r="G12" i="13"/>
  <c r="J12" i="13"/>
  <c r="A13" i="13"/>
  <c r="D13" i="13"/>
  <c r="G13" i="13"/>
  <c r="J13" i="13"/>
  <c r="A14" i="13"/>
  <c r="D14" i="13"/>
  <c r="G14" i="13"/>
  <c r="A15" i="13"/>
  <c r="D15" i="13"/>
  <c r="G15" i="13"/>
  <c r="A16" i="13"/>
  <c r="D16" i="13"/>
  <c r="G16" i="13"/>
  <c r="A17" i="13"/>
  <c r="D17" i="13"/>
  <c r="G17" i="13"/>
  <c r="A18" i="13"/>
  <c r="D18" i="13"/>
  <c r="A19" i="13"/>
  <c r="D19" i="13"/>
  <c r="A20" i="13"/>
  <c r="D20" i="13"/>
  <c r="A21" i="13"/>
  <c r="D21" i="13"/>
  <c r="A22" i="13"/>
  <c r="D22" i="13"/>
  <c r="A23" i="13"/>
  <c r="D23" i="13"/>
  <c r="A24" i="13"/>
  <c r="D24" i="13"/>
  <c r="A25" i="13"/>
  <c r="D25" i="13"/>
  <c r="A26" i="13"/>
  <c r="A27" i="13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A11" i="11" l="1"/>
  <c r="D11" i="11"/>
  <c r="G11" i="11"/>
  <c r="J11" i="11"/>
  <c r="M11" i="11"/>
  <c r="A12" i="11"/>
  <c r="D12" i="11"/>
  <c r="G12" i="11"/>
  <c r="J12" i="11"/>
  <c r="A13" i="11"/>
  <c r="D13" i="11"/>
  <c r="G13" i="11"/>
  <c r="J13" i="11"/>
  <c r="A14" i="11"/>
  <c r="D14" i="1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G14" i="11"/>
  <c r="A15" i="1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G15" i="11"/>
  <c r="G16" i="11" s="1"/>
  <c r="G17" i="11" s="1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A11" i="9" l="1"/>
  <c r="D11" i="9"/>
  <c r="G11" i="9"/>
  <c r="J11" i="9"/>
  <c r="M11" i="9"/>
  <c r="A12" i="9"/>
  <c r="D12" i="9"/>
  <c r="G12" i="9"/>
  <c r="J12" i="9"/>
  <c r="A13" i="9"/>
  <c r="D13" i="9"/>
  <c r="G13" i="9"/>
  <c r="J13" i="9"/>
  <c r="A14" i="9"/>
  <c r="D14" i="9"/>
  <c r="G14" i="9"/>
  <c r="A15" i="9"/>
  <c r="D15" i="9"/>
  <c r="G15" i="9"/>
  <c r="A16" i="9"/>
  <c r="D16" i="9"/>
  <c r="G16" i="9"/>
  <c r="A17" i="9"/>
  <c r="D17" i="9"/>
  <c r="G17" i="9"/>
  <c r="A18" i="9"/>
  <c r="D18" i="9"/>
  <c r="A19" i="9"/>
  <c r="D19" i="9"/>
  <c r="A20" i="9"/>
  <c r="D20" i="9"/>
  <c r="A21" i="9"/>
  <c r="D21" i="9"/>
  <c r="A22" i="9"/>
  <c r="D22" i="9"/>
  <c r="A23" i="9"/>
  <c r="D23" i="9"/>
  <c r="A24" i="9"/>
  <c r="D24" i="9"/>
  <c r="A25" i="9"/>
  <c r="D25" i="9"/>
  <c r="A26" i="9"/>
  <c r="A27" i="9"/>
  <c r="A28" i="9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A11" i="6" l="1"/>
  <c r="D11" i="6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G11" i="6"/>
  <c r="J11" i="6"/>
  <c r="J12" i="6" s="1"/>
  <c r="J13" i="6" s="1"/>
  <c r="M11" i="6"/>
  <c r="A12" i="6"/>
  <c r="G12" i="6"/>
  <c r="A13" i="6"/>
  <c r="G13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G14" i="6"/>
  <c r="G15" i="6" s="1"/>
  <c r="G16" i="6" s="1"/>
  <c r="G17" i="6" s="1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A11" i="4"/>
  <c r="D11" i="4"/>
  <c r="G11" i="4"/>
  <c r="J11" i="4"/>
  <c r="M11" i="4"/>
  <c r="A12" i="4"/>
  <c r="D12" i="4"/>
  <c r="G12" i="4"/>
  <c r="J12" i="4"/>
  <c r="A13" i="4"/>
  <c r="D13" i="4"/>
  <c r="G13" i="4"/>
  <c r="J13" i="4"/>
  <c r="A14" i="4"/>
  <c r="D14" i="4"/>
  <c r="G14" i="4"/>
  <c r="A15" i="4"/>
  <c r="D15" i="4"/>
  <c r="G15" i="4"/>
  <c r="A16" i="4"/>
  <c r="D16" i="4"/>
  <c r="G16" i="4"/>
  <c r="A17" i="4"/>
  <c r="D17" i="4"/>
  <c r="G17" i="4"/>
  <c r="A18" i="4"/>
  <c r="D18" i="4"/>
  <c r="A19" i="4"/>
  <c r="D19" i="4"/>
  <c r="A20" i="4"/>
  <c r="D20" i="4"/>
  <c r="A21" i="4"/>
  <c r="D21" i="4"/>
  <c r="A22" i="4"/>
  <c r="D22" i="4"/>
  <c r="A23" i="4"/>
  <c r="D23" i="4"/>
  <c r="A24" i="4"/>
  <c r="D24" i="4"/>
  <c r="A25" i="4"/>
  <c r="D25" i="4"/>
  <c r="A26" i="4"/>
  <c r="A27" i="4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M11" i="2"/>
  <c r="J11" i="2"/>
  <c r="J12" i="2" s="1"/>
  <c r="J13" i="2" s="1"/>
  <c r="G11" i="2"/>
  <c r="G12" i="2" s="1"/>
  <c r="G13" i="2" s="1"/>
  <c r="G14" i="2" s="1"/>
  <c r="G15" i="2" s="1"/>
  <c r="G16" i="2" s="1"/>
  <c r="G17" i="2" s="1"/>
  <c r="D11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</calcChain>
</file>

<file path=xl/sharedStrings.xml><?xml version="1.0" encoding="utf-8"?>
<sst xmlns="http://schemas.openxmlformats.org/spreadsheetml/2006/main" count="13165" uniqueCount="372">
  <si>
    <t>Nr</t>
  </si>
  <si>
    <t>Datum</t>
  </si>
  <si>
    <t>Groep</t>
  </si>
  <si>
    <t>Thuis</t>
  </si>
  <si>
    <t>T</t>
  </si>
  <si>
    <t>U</t>
  </si>
  <si>
    <t>Uit</t>
  </si>
  <si>
    <t>Res</t>
  </si>
  <si>
    <t>2026-06-11</t>
  </si>
  <si>
    <t>A</t>
  </si>
  <si>
    <t>Mexico</t>
  </si>
  <si>
    <t>South Africa</t>
  </si>
  <si>
    <t>South Korea</t>
  </si>
  <si>
    <t>Tsjechië</t>
  </si>
  <si>
    <t>2026-06-18</t>
  </si>
  <si>
    <t>2026-06-24</t>
  </si>
  <si>
    <t>2026-06-12</t>
  </si>
  <si>
    <t>B</t>
  </si>
  <si>
    <t>Canada</t>
  </si>
  <si>
    <t>Bosnië-Herzegovina</t>
  </si>
  <si>
    <t>2026-06-13</t>
  </si>
  <si>
    <t>Qatar</t>
  </si>
  <si>
    <t>Switzerland</t>
  </si>
  <si>
    <t>C</t>
  </si>
  <si>
    <t>Brazil</t>
  </si>
  <si>
    <t>Morocco</t>
  </si>
  <si>
    <t>Haiti</t>
  </si>
  <si>
    <t>Scotland</t>
  </si>
  <si>
    <t>2026-06-19</t>
  </si>
  <si>
    <t>D</t>
  </si>
  <si>
    <t>USA</t>
  </si>
  <si>
    <t>Paraguay</t>
  </si>
  <si>
    <t>Australia</t>
  </si>
  <si>
    <t>Turkije</t>
  </si>
  <si>
    <t>2026-06-25</t>
  </si>
  <si>
    <t>2026-06-14</t>
  </si>
  <si>
    <t>E</t>
  </si>
  <si>
    <t>Germany</t>
  </si>
  <si>
    <t>Curaçao</t>
  </si>
  <si>
    <t>Ivory Coast</t>
  </si>
  <si>
    <t>Ecuador</t>
  </si>
  <si>
    <t>2026-06-20</t>
  </si>
  <si>
    <t>F</t>
  </si>
  <si>
    <t>Netherlands</t>
  </si>
  <si>
    <t>Japan</t>
  </si>
  <si>
    <t>Zweden</t>
  </si>
  <si>
    <t>Tunisia</t>
  </si>
  <si>
    <t>2026-06-15</t>
  </si>
  <si>
    <t>G</t>
  </si>
  <si>
    <t>Belgium</t>
  </si>
  <si>
    <t>Egypt</t>
  </si>
  <si>
    <t>Iran</t>
  </si>
  <si>
    <t>New Zealand</t>
  </si>
  <si>
    <t>2026-06-21</t>
  </si>
  <si>
    <t>2026-06-26</t>
  </si>
  <si>
    <t>H</t>
  </si>
  <si>
    <t>Spain</t>
  </si>
  <si>
    <t>Cape Verde</t>
  </si>
  <si>
    <t>Saudi Arabia</t>
  </si>
  <si>
    <t>Uruguay</t>
  </si>
  <si>
    <t>2026-06-16</t>
  </si>
  <si>
    <t>I</t>
  </si>
  <si>
    <t>France</t>
  </si>
  <si>
    <t>Senegal</t>
  </si>
  <si>
    <t>Irak</t>
  </si>
  <si>
    <t>Norway</t>
  </si>
  <si>
    <t>2026-06-22</t>
  </si>
  <si>
    <t>J</t>
  </si>
  <si>
    <t>Argentina</t>
  </si>
  <si>
    <t>Algeria</t>
  </si>
  <si>
    <t>Austria</t>
  </si>
  <si>
    <t>Jordan</t>
  </si>
  <si>
    <t>2026-06-27</t>
  </si>
  <si>
    <t>2026-06-17</t>
  </si>
  <si>
    <t>K</t>
  </si>
  <si>
    <t>Portugal</t>
  </si>
  <si>
    <t>DR Congo</t>
  </si>
  <si>
    <t>Uzbekistan</t>
  </si>
  <si>
    <t>Colombia</t>
  </si>
  <si>
    <t>2026-06-23</t>
  </si>
  <si>
    <t>L</t>
  </si>
  <si>
    <t>England</t>
  </si>
  <si>
    <t>Croatia</t>
  </si>
  <si>
    <t>Ghana</t>
  </si>
  <si>
    <t>Panama</t>
  </si>
  <si>
    <t>Teams laatste 32</t>
  </si>
  <si>
    <t>Teams laatste 16</t>
  </si>
  <si>
    <t>Teams laatste 8</t>
  </si>
  <si>
    <t>Teams laatste 4</t>
  </si>
  <si>
    <t>Teams Finale</t>
  </si>
  <si>
    <t>Winnaar</t>
  </si>
  <si>
    <t>nederland</t>
  </si>
  <si>
    <t>frankrijk</t>
  </si>
  <si>
    <t>mexico</t>
  </si>
  <si>
    <t>japan</t>
  </si>
  <si>
    <t>zuid korea</t>
  </si>
  <si>
    <t>duitsland</t>
  </si>
  <si>
    <t>zweden</t>
  </si>
  <si>
    <t>canada</t>
  </si>
  <si>
    <t>engeland</t>
  </si>
  <si>
    <t>bosnie</t>
  </si>
  <si>
    <t>spanje</t>
  </si>
  <si>
    <t>usa</t>
  </si>
  <si>
    <t>belgie</t>
  </si>
  <si>
    <t>paraguay</t>
  </si>
  <si>
    <t>portugal</t>
  </si>
  <si>
    <t>argentinie</t>
  </si>
  <si>
    <t>ghana</t>
  </si>
  <si>
    <t>curacao</t>
  </si>
  <si>
    <t>turkije</t>
  </si>
  <si>
    <t>Bonus Vragen:</t>
  </si>
  <si>
    <t>egytpte</t>
  </si>
  <si>
    <t>kroatie</t>
  </si>
  <si>
    <t>1. Topscoorder toernooi</t>
  </si>
  <si>
    <t>harry kane</t>
  </si>
  <si>
    <t>kaapverdie</t>
  </si>
  <si>
    <t>2. Land met 1e rode kaart</t>
  </si>
  <si>
    <t>zuid afrika</t>
  </si>
  <si>
    <t>tjechie</t>
  </si>
  <si>
    <t>3. Beste speler toernooi</t>
  </si>
  <si>
    <t>dumfries</t>
  </si>
  <si>
    <t>senegal</t>
  </si>
  <si>
    <t>Totaal aantal doelpunten</t>
  </si>
  <si>
    <t>algerije</t>
  </si>
  <si>
    <t>(bij gelijke stand)</t>
  </si>
  <si>
    <t>congo</t>
  </si>
  <si>
    <t>oezbekistan</t>
  </si>
  <si>
    <t>oostenrijk</t>
  </si>
  <si>
    <t>noorwegen</t>
  </si>
  <si>
    <t>colombia</t>
  </si>
  <si>
    <t>uruguay</t>
  </si>
  <si>
    <t>zwitserland</t>
  </si>
  <si>
    <t>Sweden</t>
  </si>
  <si>
    <t>Lamine Yamal (Spain)</t>
  </si>
  <si>
    <t>Harry Kane (England)</t>
  </si>
  <si>
    <t>Turkey</t>
  </si>
  <si>
    <t>iran</t>
  </si>
  <si>
    <t>bosnie herzegovina</t>
  </si>
  <si>
    <t>marokko</t>
  </si>
  <si>
    <t>schotland</t>
  </si>
  <si>
    <t>Lamine Yamal</t>
  </si>
  <si>
    <t>Argentinie</t>
  </si>
  <si>
    <t>egypte</t>
  </si>
  <si>
    <t>Kylian Mbappé</t>
  </si>
  <si>
    <t>brazilie</t>
  </si>
  <si>
    <t>ivoorkust</t>
  </si>
  <si>
    <t>Nederland</t>
  </si>
  <si>
    <t>Tsjechie</t>
  </si>
  <si>
    <t>Frankrijk</t>
  </si>
  <si>
    <t>Kylian Mbappé (France)</t>
  </si>
  <si>
    <t>Kroatië</t>
  </si>
  <si>
    <t>Engeland</t>
  </si>
  <si>
    <t>Oezbekistan</t>
  </si>
  <si>
    <t>Congo</t>
  </si>
  <si>
    <t>Algerije</t>
  </si>
  <si>
    <t>Argentinië</t>
  </si>
  <si>
    <t>Noorwegen</t>
  </si>
  <si>
    <t>Spanje</t>
  </si>
  <si>
    <t>Egypte</t>
  </si>
  <si>
    <t>Nieuw-Zeeland</t>
  </si>
  <si>
    <t>België</t>
  </si>
  <si>
    <t>Ronaldo</t>
  </si>
  <si>
    <t>Marokko</t>
  </si>
  <si>
    <t>Malen</t>
  </si>
  <si>
    <t>Ivoorkust</t>
  </si>
  <si>
    <t>Duitsland</t>
  </si>
  <si>
    <t>Australië</t>
  </si>
  <si>
    <t>Brazilië</t>
  </si>
  <si>
    <t>Bosnië</t>
  </si>
  <si>
    <t>Zwitserland</t>
  </si>
  <si>
    <t>Zuid-Korea</t>
  </si>
  <si>
    <t>Tjechië</t>
  </si>
  <si>
    <t>Brazilie</t>
  </si>
  <si>
    <t>Schotland</t>
  </si>
  <si>
    <t>Kroatie</t>
  </si>
  <si>
    <t>Oostenrijk</t>
  </si>
  <si>
    <t>Oliseh</t>
  </si>
  <si>
    <t>Belgie</t>
  </si>
  <si>
    <t>Bosnië-H</t>
  </si>
  <si>
    <t>Gakpo</t>
  </si>
  <si>
    <t>amerika</t>
  </si>
  <si>
    <t>Zuid-afrika</t>
  </si>
  <si>
    <t>ecuador</t>
  </si>
  <si>
    <t>australie</t>
  </si>
  <si>
    <t>marocco</t>
  </si>
  <si>
    <t xml:space="preserve"> brazilie</t>
  </si>
  <si>
    <t>Zuid Korea</t>
  </si>
  <si>
    <t>Tjechie</t>
  </si>
  <si>
    <t>Nieuw Zeeland</t>
  </si>
  <si>
    <t>Columbia</t>
  </si>
  <si>
    <t>Rodri</t>
  </si>
  <si>
    <t>Kane</t>
  </si>
  <si>
    <t>kroatië</t>
  </si>
  <si>
    <t>brazilië</t>
  </si>
  <si>
    <t>Argentië</t>
  </si>
  <si>
    <t>Australie</t>
  </si>
  <si>
    <t>Curacao</t>
  </si>
  <si>
    <t>Lamin Yamal</t>
  </si>
  <si>
    <t>Agetina</t>
  </si>
  <si>
    <t>kylian Mbappe</t>
  </si>
  <si>
    <t>Brazillie</t>
  </si>
  <si>
    <t>Germeny</t>
  </si>
  <si>
    <t>Argetina</t>
  </si>
  <si>
    <t>switserland</t>
  </si>
  <si>
    <t>Switserland</t>
  </si>
  <si>
    <t>Argentinia</t>
  </si>
  <si>
    <t>South-Korea</t>
  </si>
  <si>
    <t>Bruno Fernandes</t>
  </si>
  <si>
    <t>Mbappe</t>
  </si>
  <si>
    <t>Marocco</t>
  </si>
  <si>
    <t>Frenkie de Jong (Netherlands)</t>
  </si>
  <si>
    <t>Jonathan David (Canada)</t>
  </si>
  <si>
    <t xml:space="preserve">Netherlands </t>
  </si>
  <si>
    <t>90 doelpunten</t>
  </si>
  <si>
    <t>Yamal</t>
  </si>
  <si>
    <t>Brasil</t>
  </si>
  <si>
    <t>`1</t>
  </si>
  <si>
    <t xml:space="preserve">Engeland </t>
  </si>
  <si>
    <t>Saudi-Arabië</t>
  </si>
  <si>
    <t>Lamal</t>
  </si>
  <si>
    <t>Zuid-Afrika</t>
  </si>
  <si>
    <t>Haaland</t>
  </si>
  <si>
    <t>Puntentelling WK Poule 2026</t>
  </si>
  <si>
    <t>Thijs</t>
  </si>
  <si>
    <t>Emma</t>
  </si>
  <si>
    <t>Tom</t>
  </si>
  <si>
    <t>Nova</t>
  </si>
  <si>
    <t>Koen N</t>
  </si>
  <si>
    <t>Frederique</t>
  </si>
  <si>
    <t>PP</t>
  </si>
  <si>
    <t>Gies</t>
  </si>
  <si>
    <t>Guusje</t>
  </si>
  <si>
    <t>Esther</t>
  </si>
  <si>
    <t>Niek</t>
  </si>
  <si>
    <t>Patrick</t>
  </si>
  <si>
    <t>Maartje</t>
  </si>
  <si>
    <t>Sam</t>
  </si>
  <si>
    <t xml:space="preserve">Guus  </t>
  </si>
  <si>
    <t>Bram</t>
  </si>
  <si>
    <t>Senagal</t>
  </si>
  <si>
    <t>Uraguay</t>
  </si>
  <si>
    <t>lamine yamal</t>
  </si>
  <si>
    <t>Equador</t>
  </si>
  <si>
    <t>Usa</t>
  </si>
  <si>
    <t>Zwitserlansd</t>
  </si>
  <si>
    <t>Verenigde Staten</t>
  </si>
  <si>
    <t>Reijnders</t>
  </si>
  <si>
    <t>Eqypte</t>
  </si>
  <si>
    <t>Mbappé</t>
  </si>
  <si>
    <t>Harry Kane</t>
  </si>
  <si>
    <t xml:space="preserve">Mart </t>
  </si>
  <si>
    <t>Jetski</t>
  </si>
  <si>
    <t>Bosnia and Herzegovina</t>
  </si>
  <si>
    <t>United States</t>
  </si>
  <si>
    <t>Michael Olise</t>
  </si>
  <si>
    <t>Czech Republic</t>
  </si>
  <si>
    <t>2-</t>
  </si>
  <si>
    <t xml:space="preserve">Austria </t>
  </si>
  <si>
    <t>Cody Gakpo</t>
  </si>
  <si>
    <t>Raphinha</t>
  </si>
  <si>
    <t>ivory coast</t>
  </si>
  <si>
    <t>algeria</t>
  </si>
  <si>
    <t>tsjechië</t>
  </si>
  <si>
    <t>egypt</t>
  </si>
  <si>
    <t>sweden</t>
  </si>
  <si>
    <t>croatia</t>
  </si>
  <si>
    <t>england</t>
  </si>
  <si>
    <t>austria</t>
  </si>
  <si>
    <t>argentina</t>
  </si>
  <si>
    <t>norway</t>
  </si>
  <si>
    <t>france</t>
  </si>
  <si>
    <t>mbappe</t>
  </si>
  <si>
    <t>switzerland</t>
  </si>
  <si>
    <t>spain</t>
  </si>
  <si>
    <t>belgium</t>
  </si>
  <si>
    <t>morocco</t>
  </si>
  <si>
    <t>netherlands</t>
  </si>
  <si>
    <t>germany</t>
  </si>
  <si>
    <t>turkey</t>
  </si>
  <si>
    <t>brazil</t>
  </si>
  <si>
    <t>bosnia-herzegovina</t>
  </si>
  <si>
    <t>south korea</t>
  </si>
  <si>
    <t>Dennis</t>
  </si>
  <si>
    <t>Froukje</t>
  </si>
  <si>
    <t>Edward</t>
  </si>
  <si>
    <t>Erling Haaland</t>
  </si>
  <si>
    <t xml:space="preserve">Ivoorkust </t>
  </si>
  <si>
    <t xml:space="preserve">Noorwegen </t>
  </si>
  <si>
    <t>Algarije</t>
  </si>
  <si>
    <t xml:space="preserve">Zweden </t>
  </si>
  <si>
    <t xml:space="preserve">Oostenrijk </t>
  </si>
  <si>
    <t xml:space="preserve">Uruguay </t>
  </si>
  <si>
    <t xml:space="preserve">Brazilie </t>
  </si>
  <si>
    <t xml:space="preserve">Michael Olise </t>
  </si>
  <si>
    <t xml:space="preserve">Japan </t>
  </si>
  <si>
    <t xml:space="preserve">Nederland </t>
  </si>
  <si>
    <t xml:space="preserve">Zuid Korea </t>
  </si>
  <si>
    <t>Julian Alvarez</t>
  </si>
  <si>
    <t xml:space="preserve">Ecuador </t>
  </si>
  <si>
    <t xml:space="preserve">Mexico </t>
  </si>
  <si>
    <t xml:space="preserve">Schotland </t>
  </si>
  <si>
    <t xml:space="preserve">Duitsland </t>
  </si>
  <si>
    <t xml:space="preserve">Canada </t>
  </si>
  <si>
    <t xml:space="preserve">Marokko </t>
  </si>
  <si>
    <t>Zuid korea</t>
  </si>
  <si>
    <t xml:space="preserve">Spanje </t>
  </si>
  <si>
    <t xml:space="preserve">Frankrijk </t>
  </si>
  <si>
    <t>Lucas/Herwin</t>
  </si>
  <si>
    <t>Bobbi</t>
  </si>
  <si>
    <t>ghane</t>
  </si>
  <si>
    <t>zuid-afrika</t>
  </si>
  <si>
    <t>bosnie-herz</t>
  </si>
  <si>
    <t>tsjechie</t>
  </si>
  <si>
    <t>Türkiye</t>
  </si>
  <si>
    <t xml:space="preserve">van Dijk </t>
  </si>
  <si>
    <t>Koen B</t>
  </si>
  <si>
    <t>Floris</t>
  </si>
  <si>
    <t>Gijs</t>
  </si>
  <si>
    <t>scotland</t>
  </si>
  <si>
    <t>argentinia</t>
  </si>
  <si>
    <t>urugay</t>
  </si>
  <si>
    <t>olise</t>
  </si>
  <si>
    <t>paraguy</t>
  </si>
  <si>
    <t xml:space="preserve">france </t>
  </si>
  <si>
    <t>agentinia</t>
  </si>
  <si>
    <t xml:space="preserve">portugal </t>
  </si>
  <si>
    <t>Zuid Afrika</t>
  </si>
  <si>
    <t>Van der geize</t>
  </si>
  <si>
    <t>musiala</t>
  </si>
  <si>
    <t>havertz</t>
  </si>
  <si>
    <t>Paraquay</t>
  </si>
  <si>
    <t>Bosnie-Herzekovina</t>
  </si>
  <si>
    <t>Uruquay</t>
  </si>
  <si>
    <t>Neves</t>
  </si>
  <si>
    <t>Ramos</t>
  </si>
  <si>
    <t>Freek</t>
  </si>
  <si>
    <t>Nanne</t>
  </si>
  <si>
    <t>Puck/Kiki</t>
  </si>
  <si>
    <t>Pleun/Max</t>
  </si>
  <si>
    <t xml:space="preserve">Egypte </t>
  </si>
  <si>
    <t>Oyarzabal</t>
  </si>
  <si>
    <t>VS</t>
  </si>
  <si>
    <t>Punten</t>
  </si>
  <si>
    <t>Nigeria</t>
  </si>
  <si>
    <t>Polen</t>
  </si>
  <si>
    <t>Oekraïne</t>
  </si>
  <si>
    <t>Servië</t>
  </si>
  <si>
    <t>Denemarken</t>
  </si>
  <si>
    <r>
      <t>Kylian Mbappé</t>
    </r>
    <r>
      <rPr>
        <sz val="11"/>
        <color theme="1"/>
        <rFont val="Calibri"/>
        <family val="2"/>
        <scheme val="minor"/>
      </rPr>
      <t>.</t>
    </r>
  </si>
  <si>
    <t>Italië</t>
  </si>
  <si>
    <t>Vinícius Júnior</t>
  </si>
  <si>
    <t>Julián Álvarez</t>
  </si>
  <si>
    <t>Mats/Koen</t>
  </si>
  <si>
    <t>AI</t>
  </si>
  <si>
    <t>Uitslagen</t>
  </si>
  <si>
    <t>Bonus</t>
  </si>
  <si>
    <t>Vragen</t>
  </si>
  <si>
    <t>Standen</t>
  </si>
  <si>
    <t>Poule</t>
  </si>
  <si>
    <t>Totaal</t>
  </si>
  <si>
    <t>bosniË</t>
  </si>
  <si>
    <t>saoedi-arabie</t>
  </si>
  <si>
    <t>Micheal Olise</t>
  </si>
  <si>
    <t>Ousmane dembele</t>
  </si>
  <si>
    <t>vs</t>
  </si>
  <si>
    <t>Teun</t>
  </si>
  <si>
    <t>Ollie</t>
  </si>
  <si>
    <t>Bosnie-Herzegovina</t>
  </si>
  <si>
    <t>Frenkie de Jong</t>
  </si>
  <si>
    <t>Kylian Mbappe</t>
  </si>
  <si>
    <t>Berlgium</t>
  </si>
  <si>
    <t>Porugal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</si>
</sst>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89013336588644"/>
        <bgColor rgb="FFDCE6F2"/>
      </patternFill>
    </fill>
    <fill>
      <patternFill patternType="solid">
        <fgColor rgb="FF1F4E79"/>
        <bgColor rgb="FF003366"/>
      </patternFill>
    </fill>
    <fill>
      <patternFill patternType="solid">
        <fgColor theme="4" tint="0.79989013336588644"/>
        <bgColor rgb="FFD6E4F0"/>
      </patternFill>
    </fill>
    <fill>
      <patternFill patternType="solid">
        <fgColor theme="8" tint="0.59987182226020086"/>
        <bgColor rgb="FFC8E6C9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79998168889431442"/>
        <bgColor rgb="FFFFF9C4"/>
      </patternFill>
    </fill>
    <fill>
      <patternFill patternType="solid">
        <fgColor theme="4" tint="0.79998168889431442"/>
        <bgColor rgb="FFC8E6C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B6DDE8"/>
        <bgColor rgb="FFB6DDE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4" fillId="0" borderId="0"/>
  </cellStyleXfs>
  <cellXfs count="6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centerContinuous"/>
    </xf>
    <xf numFmtId="0" fontId="5" fillId="0" borderId="0" xfId="1" applyFont="1"/>
    <xf numFmtId="0" fontId="1" fillId="0" borderId="0" xfId="1"/>
    <xf numFmtId="0" fontId="1" fillId="0" borderId="0" xfId="1" applyAlignment="1">
      <alignment horizontal="center"/>
    </xf>
    <xf numFmtId="0" fontId="1" fillId="5" borderId="1" xfId="1" applyFill="1" applyBorder="1"/>
    <xf numFmtId="0" fontId="2" fillId="0" borderId="0" xfId="1" applyFont="1"/>
    <xf numFmtId="0" fontId="1" fillId="5" borderId="0" xfId="1" applyFill="1"/>
    <xf numFmtId="0" fontId="6" fillId="0" borderId="0" xfId="2"/>
    <xf numFmtId="0" fontId="6" fillId="0" borderId="1" xfId="2" applyBorder="1" applyAlignment="1">
      <alignment horizontal="center" vertical="center"/>
    </xf>
    <xf numFmtId="0" fontId="6" fillId="0" borderId="1" xfId="2" applyBorder="1" applyAlignment="1">
      <alignment horizontal="left" vertical="center"/>
    </xf>
    <xf numFmtId="0" fontId="6" fillId="6" borderId="1" xfId="2" applyFill="1" applyBorder="1" applyAlignment="1">
      <alignment horizontal="center" vertical="center"/>
    </xf>
    <xf numFmtId="0" fontId="7" fillId="7" borderId="1" xfId="2" applyFont="1" applyFill="1" applyBorder="1" applyAlignment="1">
      <alignment horizontal="center" vertical="center"/>
    </xf>
    <xf numFmtId="0" fontId="6" fillId="0" borderId="0" xfId="2" applyAlignment="1">
      <alignment horizontal="center"/>
    </xf>
    <xf numFmtId="0" fontId="6" fillId="8" borderId="1" xfId="2" applyFill="1" applyBorder="1"/>
    <xf numFmtId="0" fontId="6" fillId="8" borderId="0" xfId="2" applyFill="1"/>
    <xf numFmtId="0" fontId="8" fillId="0" borderId="0" xfId="2" applyFont="1"/>
    <xf numFmtId="0" fontId="9" fillId="0" borderId="0" xfId="2" applyFont="1"/>
    <xf numFmtId="0" fontId="6" fillId="9" borderId="0" xfId="2" applyFill="1"/>
    <xf numFmtId="0" fontId="11" fillId="2" borderId="1" xfId="0" applyFont="1" applyFill="1" applyBorder="1" applyAlignment="1">
      <alignment horizontal="center" vertical="center"/>
    </xf>
    <xf numFmtId="0" fontId="3" fillId="7" borderId="1" xfId="2" applyFont="1" applyFill="1" applyBorder="1" applyAlignment="1">
      <alignment horizontal="center" vertical="center"/>
    </xf>
    <xf numFmtId="0" fontId="12" fillId="10" borderId="1" xfId="3" applyFill="1" applyBorder="1" applyAlignment="1">
      <alignment horizontal="center" vertical="center"/>
    </xf>
    <xf numFmtId="0" fontId="12" fillId="11" borderId="1" xfId="4" applyFill="1" applyBorder="1"/>
    <xf numFmtId="0" fontId="12" fillId="0" borderId="0" xfId="5"/>
    <xf numFmtId="0" fontId="0" fillId="3" borderId="2" xfId="0" applyFill="1" applyBorder="1" applyAlignment="1">
      <alignment horizontal="center" vertical="center"/>
    </xf>
    <xf numFmtId="0" fontId="1" fillId="11" borderId="1" xfId="1" applyFill="1" applyBorder="1"/>
    <xf numFmtId="0" fontId="0" fillId="12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3" fillId="5" borderId="1" xfId="0" applyFont="1" applyFill="1" applyBorder="1"/>
    <xf numFmtId="0" fontId="4" fillId="0" borderId="0" xfId="0" applyFont="1"/>
    <xf numFmtId="0" fontId="0" fillId="0" borderId="0" xfId="0" applyAlignment="1">
      <alignment horizontal="center"/>
    </xf>
    <xf numFmtId="0" fontId="0" fillId="14" borderId="0" xfId="0" applyFill="1" applyAlignment="1">
      <alignment horizontal="center"/>
    </xf>
    <xf numFmtId="0" fontId="14" fillId="0" borderId="0" xfId="6"/>
    <xf numFmtId="0" fontId="12" fillId="0" borderId="3" xfId="6" applyFont="1" applyBorder="1" applyAlignment="1">
      <alignment horizontal="center" vertical="center"/>
    </xf>
    <xf numFmtId="0" fontId="12" fillId="0" borderId="3" xfId="6" applyFont="1" applyBorder="1" applyAlignment="1">
      <alignment horizontal="left" vertical="center"/>
    </xf>
    <xf numFmtId="0" fontId="12" fillId="15" borderId="3" xfId="6" applyFont="1" applyFill="1" applyBorder="1" applyAlignment="1">
      <alignment horizontal="center" vertical="center"/>
    </xf>
    <xf numFmtId="0" fontId="11" fillId="2" borderId="3" xfId="6" applyFont="1" applyFill="1" applyBorder="1" applyAlignment="1">
      <alignment horizontal="center" vertical="center"/>
    </xf>
    <xf numFmtId="0" fontId="12" fillId="0" borderId="0" xfId="6" applyFont="1"/>
    <xf numFmtId="0" fontId="12" fillId="0" borderId="0" xfId="6" applyFont="1" applyAlignment="1">
      <alignment horizontal="center"/>
    </xf>
    <xf numFmtId="0" fontId="12" fillId="16" borderId="3" xfId="6" applyFont="1" applyFill="1" applyBorder="1"/>
    <xf numFmtId="0" fontId="12" fillId="16" borderId="0" xfId="6" applyFont="1" applyFill="1"/>
    <xf numFmtId="0" fontId="15" fillId="0" borderId="0" xfId="6" applyFont="1"/>
    <xf numFmtId="0" fontId="16" fillId="0" borderId="0" xfId="6" applyFont="1"/>
    <xf numFmtId="0" fontId="12" fillId="17" borderId="0" xfId="6" applyFont="1" applyFill="1"/>
    <xf numFmtId="0" fontId="18" fillId="0" borderId="0" xfId="0" applyFont="1" applyAlignment="1">
      <alignment horizontal="center"/>
    </xf>
    <xf numFmtId="0" fontId="18" fillId="0" borderId="0" xfId="6" applyFont="1" applyAlignment="1">
      <alignment horizontal="center"/>
    </xf>
    <xf numFmtId="0" fontId="18" fillId="0" borderId="0" xfId="2" applyFont="1" applyAlignment="1">
      <alignment horizontal="center"/>
    </xf>
    <xf numFmtId="0" fontId="0" fillId="0" borderId="4" xfId="0" applyBorder="1"/>
    <xf numFmtId="0" fontId="14" fillId="0" borderId="4" xfId="6" applyBorder="1"/>
    <xf numFmtId="0" fontId="6" fillId="0" borderId="4" xfId="2" applyBorder="1"/>
    <xf numFmtId="0" fontId="0" fillId="5" borderId="0" xfId="0" applyFill="1"/>
    <xf numFmtId="0" fontId="19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1" fillId="0" borderId="4" xfId="1" applyBorder="1"/>
    <xf numFmtId="0" fontId="10" fillId="0" borderId="0" xfId="2" applyFont="1" applyAlignment="1">
      <alignment horizontal="center"/>
    </xf>
    <xf numFmtId="0" fontId="17" fillId="0" borderId="0" xfId="6" applyFont="1" applyAlignment="1">
      <alignment horizontal="center"/>
    </xf>
    <xf numFmtId="0" fontId="14" fillId="0" borderId="0" xfId="6"/>
  </cellXfs>
  <cellStyles count="7">
    <cellStyle name="Normal 2" xfId="5" xr:uid="{57FC6F06-128D-4CB7-BA9B-38466FDACD9A}"/>
    <cellStyle name="Standaard" xfId="0" builtinId="0"/>
    <cellStyle name="Standaard 2" xfId="1" xr:uid="{BB714D19-2B4C-466B-BAED-87F73A4D04A4}"/>
    <cellStyle name="Standaard 2 2" xfId="4" xr:uid="{B63C30AD-3B02-44F5-A1D7-2AABDBA1092E}"/>
    <cellStyle name="Standaard 3" xfId="2" xr:uid="{0840A3A2-CB4B-40F2-BFA8-95329A67DE28}"/>
    <cellStyle name="Standaard 4" xfId="3" xr:uid="{62690D85-F5AF-423A-9894-91B70AF974CA}"/>
    <cellStyle name="Standaard 5" xfId="6" xr:uid="{5B6758AC-E276-4459-A956-06EE69B587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34</xdr:row>
      <xdr:rowOff>0</xdr:rowOff>
    </xdr:from>
    <xdr:to>
      <xdr:col>12</xdr:col>
      <xdr:colOff>260350</xdr:colOff>
      <xdr:row>41</xdr:row>
      <xdr:rowOff>6350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4E0E5153-799D-4CEC-899F-4A9254426BD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6273800"/>
          <a:ext cx="3308350" cy="1295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527050</xdr:colOff>
      <xdr:row>0</xdr:row>
      <xdr:rowOff>0</xdr:rowOff>
    </xdr:from>
    <xdr:to>
      <xdr:col>6</xdr:col>
      <xdr:colOff>247650</xdr:colOff>
      <xdr:row>6</xdr:row>
      <xdr:rowOff>140633</xdr:rowOff>
    </xdr:to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B1F30844-9CE7-4CC9-88DB-79C64692D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44450</xdr:rowOff>
    </xdr:from>
    <xdr:to>
      <xdr:col>7</xdr:col>
      <xdr:colOff>800100</xdr:colOff>
      <xdr:row>19</xdr:row>
      <xdr:rowOff>127000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17E64054-2EBD-441F-9C6E-C8C741B27AA5}"/>
            </a:ext>
          </a:extLst>
        </xdr:cNvPr>
        <xdr:cNvSpPr>
          <a:spLocks noChangeAspect="1" noChangeArrowheads="1"/>
        </xdr:cNvSpPr>
      </xdr:nvSpPr>
      <xdr:spPr bwMode="auto">
        <a:xfrm>
          <a:off x="1797050" y="2082800"/>
          <a:ext cx="28257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882650</xdr:colOff>
      <xdr:row>0</xdr:row>
      <xdr:rowOff>165100</xdr:rowOff>
    </xdr:from>
    <xdr:to>
      <xdr:col>12</xdr:col>
      <xdr:colOff>25400</xdr:colOff>
      <xdr:row>5</xdr:row>
      <xdr:rowOff>157069</xdr:rowOff>
    </xdr:to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5AD1BA71-922C-4947-902F-BD7CD0384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8300" y="165100"/>
          <a:ext cx="43053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527040</xdr:colOff>
      <xdr:row>0</xdr:row>
      <xdr:rowOff>0</xdr:rowOff>
    </xdr:from>
    <xdr:ext cx="3141130" cy="1243500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EB5F9C3D-CE56-4187-AA39-18A46EBF960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0290" y="0"/>
          <a:ext cx="3141130" cy="124350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882720</xdr:colOff>
      <xdr:row>0</xdr:row>
      <xdr:rowOff>165240</xdr:rowOff>
    </xdr:from>
    <xdr:ext cx="4284180" cy="904320"/>
    <xdr:pic>
      <xdr:nvPicPr>
        <xdr:cNvPr id="2" name="Afbeelding 4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66EAA6CF-E4F2-413C-8A27-DD8C56D2D30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8070" y="165240"/>
          <a:ext cx="4284180" cy="90432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527040</xdr:colOff>
      <xdr:row>0</xdr:row>
      <xdr:rowOff>0</xdr:rowOff>
    </xdr:from>
    <xdr:ext cx="3141490" cy="1243860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441B5E07-2507-441F-A1BA-0CC63D5AC2F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0290" y="0"/>
          <a:ext cx="3141490" cy="124386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882720</xdr:colOff>
      <xdr:row>0</xdr:row>
      <xdr:rowOff>165240</xdr:rowOff>
    </xdr:from>
    <xdr:ext cx="4284540" cy="904680"/>
    <xdr:pic>
      <xdr:nvPicPr>
        <xdr:cNvPr id="2" name="Afbeelding 4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0A254EF3-20C0-43AC-85E7-B755817CF55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8070" y="165240"/>
          <a:ext cx="4284540" cy="90468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C6571DB4-9A94-4681-A953-2CDED7863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541521B3-B2D4-4D8C-89A7-A5F5E87C5B18}"/>
            </a:ext>
          </a:extLst>
        </xdr:cNvPr>
        <xdr:cNvSpPr>
          <a:spLocks noChangeAspect="1" noChangeArrowheads="1"/>
        </xdr:cNvSpPr>
      </xdr:nvSpPr>
      <xdr:spPr bwMode="auto">
        <a:xfrm>
          <a:off x="1847850" y="2070100"/>
          <a:ext cx="28130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926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58FC52ED-2A47-433B-974D-FF522A181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9750" y="165100"/>
          <a:ext cx="42926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527040</xdr:colOff>
      <xdr:row>0</xdr:row>
      <xdr:rowOff>0</xdr:rowOff>
    </xdr:from>
    <xdr:ext cx="3142210" cy="1244580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6CCCEC11-AEA6-4484-BFE3-EAC90A2D675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0290" y="0"/>
          <a:ext cx="3142210" cy="124458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882720</xdr:colOff>
      <xdr:row>0</xdr:row>
      <xdr:rowOff>165240</xdr:rowOff>
    </xdr:from>
    <xdr:ext cx="4278910" cy="905400"/>
    <xdr:pic>
      <xdr:nvPicPr>
        <xdr:cNvPr id="2" name="Afbeelding 4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11D5BA02-308F-425C-B0C0-B6FB955C556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16320" y="165240"/>
          <a:ext cx="4278910" cy="90540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CC490C25-A108-4912-A6DE-12F2097CB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12506FDF-FFBB-4B82-97E0-E387034D7D3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30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nl-NL"/>
        </a:p>
      </xdr:txBody>
    </xdr:sp>
    <xdr:clientData/>
  </xdr:oneCellAnchor>
  <xdr:oneCellAnchor>
    <xdr:from>
      <xdr:col>4</xdr:col>
      <xdr:colOff>882650</xdr:colOff>
      <xdr:row>0</xdr:row>
      <xdr:rowOff>165100</xdr:rowOff>
    </xdr:from>
    <xdr:ext cx="42672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6834FB95-5F6B-4949-B777-A0DBBF635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672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C6FE998C-4670-4AA8-A954-67FA67389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940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EFDDE7FE-449B-4B86-A102-3201EC84541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940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8625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6907D56F-6935-4FAE-888A-A48AB29B4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8625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3791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FF298BB5-40A2-45FB-A6C2-080B868E7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37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E36CC598-CCB3-478A-BCF0-11812AF42EAC}"/>
            </a:ext>
          </a:extLst>
        </xdr:cNvPr>
        <xdr:cNvSpPr>
          <a:spLocks noChangeAspect="1" noChangeArrowheads="1"/>
        </xdr:cNvSpPr>
      </xdr:nvSpPr>
      <xdr:spPr bwMode="auto">
        <a:xfrm>
          <a:off x="1847850" y="2070100"/>
          <a:ext cx="28130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926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BC2D2F6B-614E-4565-8048-B12DED1A1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9750" y="165100"/>
          <a:ext cx="42926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5387FBF6-E30D-4AA4-8FA5-491A13B06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BE5AC9FE-4B81-481A-AA9C-7E9F2DA1F23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30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672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2E5606CC-8A54-4BF8-A0A4-33D4E3AB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672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1A52611A-B522-478E-808F-2098CB97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940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6F94CFE7-E3B9-47B1-9E22-A3D5625B8DB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940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nl-NL"/>
        </a:p>
      </xdr:txBody>
    </xdr:sp>
    <xdr:clientData/>
  </xdr:oneCellAnchor>
  <xdr:oneCellAnchor>
    <xdr:from>
      <xdr:col>4</xdr:col>
      <xdr:colOff>882650</xdr:colOff>
      <xdr:row>0</xdr:row>
      <xdr:rowOff>165100</xdr:rowOff>
    </xdr:from>
    <xdr:ext cx="428625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D7A49222-15BE-446D-9708-6B4EEAAAA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8625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ACFD108D-DB4F-4B49-9B20-FA3C44BE1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10</xdr:row>
      <xdr:rowOff>139700</xdr:rowOff>
    </xdr:from>
    <xdr:ext cx="2819400" cy="154940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370A2FD7-C354-4AB5-909F-321E0DACC3AC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981200"/>
          <a:ext cx="2819400" cy="154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672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8510E560-48F9-4082-A20F-F99C5A4D0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672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6288BA02-AE83-4F56-8CBC-6C09D0247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EB75640E-7B84-4810-AA6C-45C500440FA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30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926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7BE9A2EB-0055-4A82-9217-241F60C18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926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39440" cy="124172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768B2754-3662-4B22-AEA8-1904275AE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39440" cy="1241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956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3B65A02A-40B2-4913-853E-59E2A7435065}"/>
            </a:ext>
          </a:extLst>
        </xdr:cNvPr>
        <xdr:cNvSpPr>
          <a:spLocks noChangeAspect="1" noChangeArrowheads="1"/>
        </xdr:cNvSpPr>
      </xdr:nvSpPr>
      <xdr:spPr bwMode="auto">
        <a:xfrm>
          <a:off x="1847850" y="2070100"/>
          <a:ext cx="2813050" cy="155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88790" cy="92414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F7131A08-3EC5-4B84-BC84-4933A48D0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9750" y="165100"/>
          <a:ext cx="4288790" cy="924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3791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A28ED9C8-9CD7-48C7-8053-A031040CF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37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956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626371F4-0147-4B6B-85D9-AC2CF9063CFB}"/>
            </a:ext>
          </a:extLst>
        </xdr:cNvPr>
        <xdr:cNvSpPr>
          <a:spLocks noChangeAspect="1" noChangeArrowheads="1"/>
        </xdr:cNvSpPr>
      </xdr:nvSpPr>
      <xdr:spPr bwMode="auto">
        <a:xfrm>
          <a:off x="1847850" y="2070100"/>
          <a:ext cx="2813050" cy="155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nl-NL"/>
        </a:p>
      </xdr:txBody>
    </xdr:sp>
    <xdr:clientData/>
  </xdr:oneCellAnchor>
  <xdr:oneCellAnchor>
    <xdr:from>
      <xdr:col>4</xdr:col>
      <xdr:colOff>882650</xdr:colOff>
      <xdr:row>0</xdr:row>
      <xdr:rowOff>165100</xdr:rowOff>
    </xdr:from>
    <xdr:ext cx="4288790" cy="918434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32BFAE2E-B2B7-4B41-A145-F8E4A99D1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9750" y="165100"/>
          <a:ext cx="4288790" cy="918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3791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030D6C87-BD82-479F-ADFD-FA1D3034A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37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49530</xdr:colOff>
      <xdr:row>11</xdr:row>
      <xdr:rowOff>55880</xdr:rowOff>
    </xdr:from>
    <xdr:ext cx="2816860" cy="1550035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3158EA05-2D38-4B2A-8797-7B82A6B9EB77}"/>
            </a:ext>
          </a:extLst>
        </xdr:cNvPr>
        <xdr:cNvSpPr>
          <a:spLocks noChangeAspect="1" noChangeArrowheads="1"/>
        </xdr:cNvSpPr>
      </xdr:nvSpPr>
      <xdr:spPr bwMode="auto">
        <a:xfrm>
          <a:off x="1897380" y="2081530"/>
          <a:ext cx="2816860" cy="155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nl-NL"/>
        </a:p>
      </xdr:txBody>
    </xdr:sp>
    <xdr:clientData/>
  </xdr:oneCellAnchor>
  <xdr:oneCellAnchor>
    <xdr:from>
      <xdr:col>4</xdr:col>
      <xdr:colOff>882650</xdr:colOff>
      <xdr:row>0</xdr:row>
      <xdr:rowOff>165100</xdr:rowOff>
    </xdr:from>
    <xdr:ext cx="4288790" cy="92414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A4780F05-2B7A-4FFF-B5E6-84EDDBAF5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9750" y="165100"/>
          <a:ext cx="4288790" cy="924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764407E8-1951-498C-97A7-18A8CD1D6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18D5FE9C-5B83-4A00-A39B-582A91BF8FC2}"/>
            </a:ext>
          </a:extLst>
        </xdr:cNvPr>
        <xdr:cNvSpPr>
          <a:spLocks noChangeAspect="1" noChangeArrowheads="1"/>
        </xdr:cNvSpPr>
      </xdr:nvSpPr>
      <xdr:spPr bwMode="auto">
        <a:xfrm>
          <a:off x="1847850" y="2070100"/>
          <a:ext cx="28130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926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87B4C11B-5330-4DB0-A927-CB8C5C19B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9750" y="165100"/>
          <a:ext cx="42926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11140A5D-EBA5-4ADB-82AE-16E2490E1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9400" cy="1560512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3D317363-A591-4500-9563-47BB776989C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9400" cy="1560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91012" cy="917481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1601B444-A02F-4854-AB58-B782B4A0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91012" cy="917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CA4E037D-64AA-488A-836F-4FB6B0DA7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6589B4C7-2EB3-4FC2-918D-9234C9361D9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30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672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6B1C8A50-6A9D-4362-B35A-6F0CE39A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672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87819C29-7D37-4F4A-BED8-F3655A071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940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9C71E2AB-99E5-4D6F-BD70-B97A441CE32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940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8625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44FF83D1-B0BB-484B-92CC-DC0258DAC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8625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07EF30CE-5500-403B-BABE-E17083D22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406746</xdr:colOff>
      <xdr:row>9</xdr:row>
      <xdr:rowOff>32648</xdr:rowOff>
    </xdr:from>
    <xdr:ext cx="325122" cy="2608519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82076BC3-D873-4F60-A7C8-0805D30ABADC}"/>
            </a:ext>
          </a:extLst>
        </xdr:cNvPr>
        <xdr:cNvSpPr>
          <a:spLocks noChangeAspect="1" noChangeArrowheads="1"/>
        </xdr:cNvSpPr>
      </xdr:nvSpPr>
      <xdr:spPr bwMode="auto">
        <a:xfrm rot="5117703">
          <a:off x="1728847" y="2831697"/>
          <a:ext cx="2608519" cy="325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926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5AF7635D-2B4A-496F-B77C-800DAA030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9750" y="165100"/>
          <a:ext cx="42926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38100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73CBD273-0945-432B-A73C-D7C33AA3C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3810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59B5557C-70E4-40FD-A762-3B2919840B5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30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672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B04E1505-1AFF-483D-9BFA-D08976CC6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672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A09ECC08-5414-4106-8428-E1510451C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940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AF500713-98C9-4AE2-8F8B-C7FEDFAFCF0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940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nl-NL"/>
        </a:p>
      </xdr:txBody>
    </xdr:sp>
    <xdr:clientData/>
  </xdr:oneCellAnchor>
  <xdr:oneCellAnchor>
    <xdr:from>
      <xdr:col>4</xdr:col>
      <xdr:colOff>882650</xdr:colOff>
      <xdr:row>0</xdr:row>
      <xdr:rowOff>165100</xdr:rowOff>
    </xdr:from>
    <xdr:ext cx="428625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0468DD7A-9F85-48A2-8CFE-2DFB646CA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8625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27E027DB-D287-4EA0-8E9F-1D5FEE431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381000</xdr:colOff>
      <xdr:row>19</xdr:row>
      <xdr:rowOff>127000</xdr:rowOff>
    </xdr:from>
    <xdr:ext cx="419100" cy="23126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095C2AC6-4ABE-4B41-A0BF-661062A9E111}"/>
            </a:ext>
          </a:extLst>
        </xdr:cNvPr>
        <xdr:cNvSpPr>
          <a:spLocks noChangeAspect="1" noChangeArrowheads="1"/>
        </xdr:cNvSpPr>
      </xdr:nvSpPr>
      <xdr:spPr bwMode="auto">
        <a:xfrm flipV="1">
          <a:off x="4648200" y="3625850"/>
          <a:ext cx="419100" cy="231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8625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0A2083F0-A123-466C-A205-D45A7CF8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8625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94D7F91F-0599-4A01-BD11-2ADB818D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E39B5874-7EE8-40FE-81F3-D7371168130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305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672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FD1F4976-30CE-4F6C-9F5A-B9101881B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672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136C2256-00E7-451D-89BE-27679B909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168099D3-6F8D-462E-9C41-64AA3F25D10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30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672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D9F1C5AA-E47F-42BF-AC48-36C6A4742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672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AA381BF2-E14F-4965-AC89-1CC743C94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940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5A0D02C6-4B83-41B1-AFA7-8A720E475C0E}"/>
            </a:ext>
          </a:extLst>
        </xdr:cNvPr>
        <xdr:cNvSpPr>
          <a:spLocks noChangeAspect="1" noChangeArrowheads="1"/>
        </xdr:cNvSpPr>
      </xdr:nvSpPr>
      <xdr:spPr bwMode="auto">
        <a:xfrm>
          <a:off x="1809750" y="2070100"/>
          <a:ext cx="281940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6085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07F67EF6-CB67-4055-8F51-7D0A01EB1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6250" y="165100"/>
          <a:ext cx="426085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E6A44A9A-CFE6-4B58-9045-97CA5B3F0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F1AB6AC8-3796-486B-960E-A2E8327B6BB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30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672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63F2948F-1067-4999-9547-C09E2298D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672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954EEBF8-E2AA-4572-9F43-2A2D47DEA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0035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9B05BB70-8C3D-4761-8E2E-E4492AE0F4D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003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545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7649E0FB-B581-468A-862D-7137330F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545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37816" cy="1240427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2FC38BEB-216A-4528-8315-78C6A407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0"/>
          <a:ext cx="3137816" cy="1240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8268" cy="1541164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8FB376C7-886C-4372-8C2E-FC367577E712}"/>
            </a:ext>
          </a:extLst>
        </xdr:cNvPr>
        <xdr:cNvSpPr>
          <a:spLocks noChangeAspect="1" noChangeArrowheads="1"/>
        </xdr:cNvSpPr>
      </xdr:nvSpPr>
      <xdr:spPr bwMode="auto">
        <a:xfrm>
          <a:off x="1809750" y="2070100"/>
          <a:ext cx="2818268" cy="1541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66760" cy="903603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34146124-F255-46C4-B9B1-A09F758D5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6250" y="165100"/>
          <a:ext cx="4266760" cy="903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047664BF-6C8D-4E90-A43E-319100FD5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940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56DBA0E8-98E1-45B6-9F65-8DCCB749666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940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8625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93D7D488-F317-42E0-B58B-2AA09194D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8625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0</xdr:row>
      <xdr:rowOff>0</xdr:rowOff>
    </xdr:from>
    <xdr:ext cx="2990850" cy="1219200"/>
    <xdr:pic>
      <xdr:nvPicPr>
        <xdr:cNvPr id="2" name="image1.jpg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361CF960-D286-4EF4-AF81-808688127F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3525" y="0"/>
          <a:ext cx="2990850" cy="1219200"/>
        </a:xfrm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38100</xdr:rowOff>
    </xdr:from>
    <xdr:ext cx="2724150" cy="1533525"/>
    <xdr:sp macro="" textlink="">
      <xdr:nvSpPr>
        <xdr:cNvPr id="2" name="Shape 4" descr="WK 2022 in Qatar: alles over het WK 2022 voetbal">
          <a:extLst>
            <a:ext uri="{FF2B5EF4-FFF2-40B4-BE49-F238E27FC236}">
              <a16:creationId xmlns:a16="http://schemas.microsoft.com/office/drawing/2014/main" id="{296BEA51-D405-4D68-8B0E-62BF24457D00}"/>
            </a:ext>
          </a:extLst>
        </xdr:cNvPr>
        <xdr:cNvSpPr/>
      </xdr:nvSpPr>
      <xdr:spPr>
        <a:xfrm>
          <a:off x="3028950" y="2063750"/>
          <a:ext cx="2724150" cy="1533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876300</xdr:colOff>
      <xdr:row>0</xdr:row>
      <xdr:rowOff>161925</xdr:rowOff>
    </xdr:from>
    <xdr:ext cx="4038600" cy="904875"/>
    <xdr:pic>
      <xdr:nvPicPr>
        <xdr:cNvPr id="3" name="image2.jpg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FCB54248-A2AE-4BAE-B5D6-B499561255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4900" y="161925"/>
          <a:ext cx="4038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81AC38D9-0B6B-4210-BD76-B77F7D873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</xdr:row>
      <xdr:rowOff>101600</xdr:rowOff>
    </xdr:from>
    <xdr:ext cx="281940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01B269F9-2C61-4E74-9EB2-507225F2BF2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311400"/>
          <a:ext cx="281940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8625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A7A9814D-3EF8-4B31-8475-E02BEFED9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8625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28F7D2D7-822F-4694-A72E-E068612D0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3050" cy="15557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9A19667D-761C-415D-8B46-ED4945EECD7C}"/>
            </a:ext>
          </a:extLst>
        </xdr:cNvPr>
        <xdr:cNvSpPr>
          <a:spLocks noChangeAspect="1" noChangeArrowheads="1"/>
        </xdr:cNvSpPr>
      </xdr:nvSpPr>
      <xdr:spPr bwMode="auto">
        <a:xfrm>
          <a:off x="1847850" y="2070100"/>
          <a:ext cx="2813050" cy="155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882650</xdr:colOff>
      <xdr:row>0</xdr:row>
      <xdr:rowOff>165100</xdr:rowOff>
    </xdr:from>
    <xdr:ext cx="4292600" cy="912719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D790FC10-FF0A-4ED0-A3C3-91F3229B9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9750" y="165100"/>
          <a:ext cx="4292600" cy="91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10160F82-638F-45F2-AB13-D1D5DDB27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44450</xdr:rowOff>
    </xdr:from>
    <xdr:ext cx="2810933" cy="1550106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BC0346EB-B256-4506-9CAF-FEC3392B73B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70100"/>
          <a:ext cx="2810933" cy="1550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nl-NL"/>
        </a:p>
      </xdr:txBody>
    </xdr:sp>
    <xdr:clientData/>
  </xdr:oneCellAnchor>
  <xdr:oneCellAnchor>
    <xdr:from>
      <xdr:col>4</xdr:col>
      <xdr:colOff>882650</xdr:colOff>
      <xdr:row>0</xdr:row>
      <xdr:rowOff>165100</xdr:rowOff>
    </xdr:from>
    <xdr:ext cx="4272139" cy="909191"/>
    <xdr:pic>
      <xdr:nvPicPr>
        <xdr:cNvPr id="3" name="Afbeelding 2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1481BE1D-D22F-4158-A3B7-1D143106B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100"/>
          <a:ext cx="4272139" cy="909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527050</xdr:colOff>
      <xdr:row>0</xdr:row>
      <xdr:rowOff>0</xdr:rowOff>
    </xdr:from>
    <xdr:ext cx="3143250" cy="1245533"/>
    <xdr:pic>
      <xdr:nvPicPr>
        <xdr:cNvPr id="2" name="Afbeelding 1" descr="FIFA World Cup 2026 PNG, voetbaltrofee transparante clipart, internationale vlaggen, digitale download">
          <a:extLst>
            <a:ext uri="{FF2B5EF4-FFF2-40B4-BE49-F238E27FC236}">
              <a16:creationId xmlns:a16="http://schemas.microsoft.com/office/drawing/2014/main" id="{D284E334-A675-4B6C-98C7-2851ECD55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6650" y="0"/>
          <a:ext cx="3143250" cy="1245533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882650</xdr:colOff>
      <xdr:row>0</xdr:row>
      <xdr:rowOff>165100</xdr:rowOff>
    </xdr:from>
    <xdr:ext cx="4292600" cy="912719"/>
    <xdr:pic>
      <xdr:nvPicPr>
        <xdr:cNvPr id="2" name="Afbeelding 1" descr="Voetbal WC-typografie. Host Nations Fan Art, FIFA World Cup 2026, World Cup 2026, USA Canada Mexico Trophy, png PNGEgg. Ontwerp voetbalbeker,">
          <a:extLst>
            <a:ext uri="{FF2B5EF4-FFF2-40B4-BE49-F238E27FC236}">
              <a16:creationId xmlns:a16="http://schemas.microsoft.com/office/drawing/2014/main" id="{94D5A920-BBA9-4DCD-BDC3-95DCAED92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9750" y="165100"/>
          <a:ext cx="4292600" cy="912719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72F7-AB81-4F3E-A455-7024044BC033}">
  <dimension ref="A1:G40"/>
  <sheetViews>
    <sheetView tabSelected="1" workbookViewId="0">
      <selection activeCell="E21" sqref="E21"/>
    </sheetView>
  </sheetViews>
  <sheetFormatPr defaultRowHeight="14.5" x14ac:dyDescent="0.35"/>
  <cols>
    <col min="1" max="1" width="6.7265625" customWidth="1"/>
    <col min="2" max="2" width="13.6328125" customWidth="1"/>
    <col min="6" max="6" width="3.08984375" customWidth="1"/>
  </cols>
  <sheetData>
    <row r="1" spans="1:7" ht="15.5" x14ac:dyDescent="0.35">
      <c r="A1" s="36" t="s">
        <v>222</v>
      </c>
    </row>
    <row r="3" spans="1:7" x14ac:dyDescent="0.35">
      <c r="C3" s="58"/>
      <c r="D3" s="58" t="s">
        <v>357</v>
      </c>
      <c r="E3" s="58" t="s">
        <v>355</v>
      </c>
      <c r="F3" s="58"/>
      <c r="G3" s="58"/>
    </row>
    <row r="4" spans="1:7" s="59" customFormat="1" x14ac:dyDescent="0.35">
      <c r="C4" s="60" t="s">
        <v>354</v>
      </c>
      <c r="D4" s="60" t="s">
        <v>358</v>
      </c>
      <c r="E4" s="60" t="s">
        <v>356</v>
      </c>
      <c r="F4" s="60"/>
      <c r="G4" s="60" t="s">
        <v>359</v>
      </c>
    </row>
    <row r="5" spans="1:7" s="59" customFormat="1" x14ac:dyDescent="0.35">
      <c r="C5" s="60"/>
      <c r="D5" s="60"/>
      <c r="E5" s="60"/>
      <c r="F5" s="60"/>
      <c r="G5" s="60"/>
    </row>
    <row r="6" spans="1:7" x14ac:dyDescent="0.35">
      <c r="A6" s="37">
        <v>1</v>
      </c>
      <c r="B6" t="s">
        <v>223</v>
      </c>
      <c r="C6">
        <f>'Groepsfase Thijs'!J82</f>
        <v>12</v>
      </c>
    </row>
    <row r="7" spans="1:7" x14ac:dyDescent="0.35">
      <c r="A7" s="37">
        <f>A6+1</f>
        <v>2</v>
      </c>
      <c r="B7" t="s">
        <v>224</v>
      </c>
      <c r="C7">
        <f>'Groepsfase Emma'!J82</f>
        <v>16</v>
      </c>
    </row>
    <row r="8" spans="1:7" x14ac:dyDescent="0.35">
      <c r="A8" s="37">
        <f t="shared" ref="A8:A37" si="0">A7+1</f>
        <v>3</v>
      </c>
      <c r="B8" t="s">
        <v>225</v>
      </c>
      <c r="C8">
        <f>'Groepsfase Tom'!J82</f>
        <v>16</v>
      </c>
    </row>
    <row r="9" spans="1:7" x14ac:dyDescent="0.35">
      <c r="A9" s="38">
        <f t="shared" si="0"/>
        <v>4</v>
      </c>
      <c r="B9" t="s">
        <v>226</v>
      </c>
      <c r="C9">
        <f>'Groepsfase Nova'!J82</f>
        <v>21</v>
      </c>
    </row>
    <row r="10" spans="1:7" x14ac:dyDescent="0.35">
      <c r="A10" s="37">
        <f t="shared" si="0"/>
        <v>5</v>
      </c>
      <c r="B10" t="s">
        <v>227</v>
      </c>
      <c r="C10">
        <f>'Groepsfase Koen N'!J82</f>
        <v>16</v>
      </c>
    </row>
    <row r="11" spans="1:7" x14ac:dyDescent="0.35">
      <c r="A11" s="38">
        <f t="shared" si="0"/>
        <v>6</v>
      </c>
      <c r="B11" t="s">
        <v>228</v>
      </c>
      <c r="C11">
        <f>'Groepsfase Frederique'!J82</f>
        <v>13</v>
      </c>
    </row>
    <row r="12" spans="1:7" x14ac:dyDescent="0.35">
      <c r="A12" s="38">
        <f t="shared" si="0"/>
        <v>7</v>
      </c>
      <c r="B12" t="s">
        <v>229</v>
      </c>
      <c r="C12">
        <f>'Groepsfase PP'!J82</f>
        <v>15</v>
      </c>
    </row>
    <row r="13" spans="1:7" x14ac:dyDescent="0.35">
      <c r="A13" s="38">
        <f t="shared" si="0"/>
        <v>8</v>
      </c>
      <c r="B13" t="s">
        <v>230</v>
      </c>
      <c r="C13">
        <f>'Groepsfase Gies'!J82</f>
        <v>18</v>
      </c>
    </row>
    <row r="14" spans="1:7" x14ac:dyDescent="0.35">
      <c r="A14" s="38">
        <f t="shared" si="0"/>
        <v>9</v>
      </c>
      <c r="B14" t="s">
        <v>231</v>
      </c>
      <c r="C14">
        <f>'Groepsfase Guusje'!J82</f>
        <v>10</v>
      </c>
    </row>
    <row r="15" spans="1:7" x14ac:dyDescent="0.35">
      <c r="A15" s="38">
        <f t="shared" si="0"/>
        <v>10</v>
      </c>
      <c r="B15" t="s">
        <v>232</v>
      </c>
      <c r="C15">
        <f>'Groepsfase Esther'!J82</f>
        <v>20</v>
      </c>
    </row>
    <row r="16" spans="1:7" x14ac:dyDescent="0.35">
      <c r="A16" s="38">
        <f t="shared" si="0"/>
        <v>11</v>
      </c>
      <c r="B16" t="s">
        <v>338</v>
      </c>
      <c r="C16">
        <f>'Groepsfase Pleun'!J82</f>
        <v>11</v>
      </c>
    </row>
    <row r="17" spans="1:3" x14ac:dyDescent="0.35">
      <c r="A17" s="37">
        <f t="shared" si="0"/>
        <v>12</v>
      </c>
      <c r="B17" t="s">
        <v>233</v>
      </c>
      <c r="C17">
        <f>'Groepsfase Niek'!J82</f>
        <v>15</v>
      </c>
    </row>
    <row r="18" spans="1:3" x14ac:dyDescent="0.35">
      <c r="A18" s="37">
        <f t="shared" si="0"/>
        <v>13</v>
      </c>
      <c r="B18" t="s">
        <v>234</v>
      </c>
      <c r="C18">
        <f>'Groepsfase Patrick'!J82</f>
        <v>18</v>
      </c>
    </row>
    <row r="19" spans="1:3" x14ac:dyDescent="0.35">
      <c r="A19" s="37">
        <f t="shared" si="0"/>
        <v>14</v>
      </c>
      <c r="B19" t="s">
        <v>235</v>
      </c>
      <c r="C19">
        <f>'Groepsfase Maartje'!J82</f>
        <v>15</v>
      </c>
    </row>
    <row r="20" spans="1:3" x14ac:dyDescent="0.35">
      <c r="A20" s="37">
        <f t="shared" si="0"/>
        <v>15</v>
      </c>
      <c r="B20" t="s">
        <v>236</v>
      </c>
      <c r="C20">
        <f>'Groepsfase Sam'!J82</f>
        <v>14</v>
      </c>
    </row>
    <row r="21" spans="1:3" x14ac:dyDescent="0.35">
      <c r="A21" s="38">
        <f t="shared" si="0"/>
        <v>16</v>
      </c>
      <c r="B21" t="s">
        <v>237</v>
      </c>
      <c r="C21">
        <f>'Groepsfase Guus'!J82</f>
        <v>20</v>
      </c>
    </row>
    <row r="22" spans="1:3" x14ac:dyDescent="0.35">
      <c r="A22" s="38">
        <f t="shared" si="0"/>
        <v>17</v>
      </c>
      <c r="B22" t="s">
        <v>238</v>
      </c>
      <c r="C22">
        <f>'Groepsfase Bram'!J82</f>
        <v>15</v>
      </c>
    </row>
    <row r="23" spans="1:3" x14ac:dyDescent="0.35">
      <c r="A23" s="38">
        <f t="shared" si="0"/>
        <v>18</v>
      </c>
      <c r="B23" t="s">
        <v>337</v>
      </c>
      <c r="C23">
        <f>'Groepsfase Puck'!J82</f>
        <v>15</v>
      </c>
    </row>
    <row r="24" spans="1:3" x14ac:dyDescent="0.35">
      <c r="A24" s="38">
        <f t="shared" si="0"/>
        <v>19</v>
      </c>
      <c r="B24" t="s">
        <v>250</v>
      </c>
      <c r="C24">
        <f>'Groepsfase Mart'!J82</f>
        <v>16</v>
      </c>
    </row>
    <row r="25" spans="1:3" x14ac:dyDescent="0.35">
      <c r="A25" s="38">
        <f t="shared" si="0"/>
        <v>20</v>
      </c>
      <c r="B25" t="s">
        <v>251</v>
      </c>
      <c r="C25">
        <f>'Groepsfase Jetski'!J82</f>
        <v>12</v>
      </c>
    </row>
    <row r="26" spans="1:3" x14ac:dyDescent="0.35">
      <c r="A26" s="38">
        <f t="shared" si="0"/>
        <v>21</v>
      </c>
      <c r="B26" t="s">
        <v>282</v>
      </c>
      <c r="C26">
        <f>'Groepsfase Dennis'!J82</f>
        <v>21</v>
      </c>
    </row>
    <row r="27" spans="1:3" x14ac:dyDescent="0.35">
      <c r="A27" s="38">
        <f t="shared" si="0"/>
        <v>22</v>
      </c>
      <c r="B27" t="s">
        <v>283</v>
      </c>
      <c r="C27">
        <f>'Groepsfase Froukje'!J82</f>
        <v>11</v>
      </c>
    </row>
    <row r="28" spans="1:3" x14ac:dyDescent="0.35">
      <c r="A28" s="38">
        <f t="shared" si="0"/>
        <v>23</v>
      </c>
      <c r="B28" t="s">
        <v>284</v>
      </c>
      <c r="C28">
        <f>'Groepsfase Edward'!J82</f>
        <v>15</v>
      </c>
    </row>
    <row r="29" spans="1:3" x14ac:dyDescent="0.35">
      <c r="A29" s="38">
        <f t="shared" si="0"/>
        <v>24</v>
      </c>
      <c r="B29" t="s">
        <v>307</v>
      </c>
      <c r="C29">
        <f>'Groepsfase Lucas'!J82</f>
        <v>14</v>
      </c>
    </row>
    <row r="30" spans="1:3" x14ac:dyDescent="0.35">
      <c r="A30" s="38">
        <f t="shared" si="0"/>
        <v>25</v>
      </c>
      <c r="B30" t="s">
        <v>308</v>
      </c>
      <c r="C30">
        <f>'Groepsfase Bobbi'!J82</f>
        <v>15</v>
      </c>
    </row>
    <row r="31" spans="1:3" x14ac:dyDescent="0.35">
      <c r="A31" s="38">
        <f t="shared" si="0"/>
        <v>26</v>
      </c>
      <c r="B31" t="s">
        <v>315</v>
      </c>
      <c r="C31">
        <f>'Groepsfase Koen B'!J82</f>
        <v>12</v>
      </c>
    </row>
    <row r="32" spans="1:3" x14ac:dyDescent="0.35">
      <c r="A32" s="38">
        <f t="shared" si="0"/>
        <v>27</v>
      </c>
      <c r="B32" t="s">
        <v>316</v>
      </c>
      <c r="C32">
        <f>'Groepsfase Floris'!J82</f>
        <v>22</v>
      </c>
    </row>
    <row r="33" spans="1:3" x14ac:dyDescent="0.35">
      <c r="A33" s="38">
        <f t="shared" si="0"/>
        <v>28</v>
      </c>
      <c r="B33" t="s">
        <v>317</v>
      </c>
      <c r="C33">
        <f>'Groepsfase Gijs'!J82</f>
        <v>15</v>
      </c>
    </row>
    <row r="34" spans="1:3" x14ac:dyDescent="0.35">
      <c r="A34" s="37">
        <f t="shared" si="0"/>
        <v>29</v>
      </c>
      <c r="B34" t="s">
        <v>327</v>
      </c>
      <c r="C34">
        <f>'Groepsfase vd Geize'!J82</f>
        <v>18</v>
      </c>
    </row>
    <row r="35" spans="1:3" x14ac:dyDescent="0.35">
      <c r="A35" s="38">
        <f t="shared" si="0"/>
        <v>30</v>
      </c>
      <c r="B35" t="s">
        <v>335</v>
      </c>
      <c r="C35">
        <f>'Groepsfase Freek'!J82</f>
        <v>22</v>
      </c>
    </row>
    <row r="36" spans="1:3" x14ac:dyDescent="0.35">
      <c r="A36" s="38">
        <f t="shared" si="0"/>
        <v>31</v>
      </c>
      <c r="B36" t="s">
        <v>336</v>
      </c>
      <c r="C36">
        <f>'Groepsfase Nanne'!J82</f>
        <v>17</v>
      </c>
    </row>
    <row r="37" spans="1:3" x14ac:dyDescent="0.35">
      <c r="A37" s="38">
        <f t="shared" si="0"/>
        <v>32</v>
      </c>
      <c r="B37" t="s">
        <v>352</v>
      </c>
      <c r="C37">
        <f>'Groepsfase Mats'!J82</f>
        <v>19</v>
      </c>
    </row>
    <row r="38" spans="1:3" x14ac:dyDescent="0.35">
      <c r="A38" s="38">
        <v>33</v>
      </c>
      <c r="B38" t="s">
        <v>365</v>
      </c>
      <c r="C38">
        <f>'Groepsfase Teun'!J82</f>
        <v>16</v>
      </c>
    </row>
    <row r="39" spans="1:3" x14ac:dyDescent="0.35">
      <c r="A39" s="38">
        <v>34</v>
      </c>
      <c r="B39" t="s">
        <v>366</v>
      </c>
      <c r="C39">
        <f>'Groepsfase Ollie'!J82</f>
        <v>13</v>
      </c>
    </row>
    <row r="40" spans="1:3" x14ac:dyDescent="0.35">
      <c r="A40" s="38">
        <v>35</v>
      </c>
      <c r="B40" t="s">
        <v>353</v>
      </c>
      <c r="C40">
        <f>'Groepsfase AI'!J82</f>
        <v>10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CBB6-9C17-4643-8804-9199020BC6B0}">
  <sheetPr codeName="Blad1">
    <tabColor theme="8" tint="0.39997558519241921"/>
  </sheetPr>
  <dimension ref="A6:J82"/>
  <sheetViews>
    <sheetView topLeftCell="A65" workbookViewId="0">
      <selection activeCell="J79" sqref="J79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3</v>
      </c>
      <c r="F9" s="4">
        <v>1</v>
      </c>
      <c r="G9" s="3" t="s">
        <v>11</v>
      </c>
      <c r="H9" s="2" t="str">
        <f t="shared" ref="H9:H72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0</v>
      </c>
      <c r="G10" s="3" t="s">
        <v>13</v>
      </c>
      <c r="H10" s="2" t="str">
        <f t="shared" si="0"/>
        <v>H</v>
      </c>
      <c r="J10">
        <v>1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1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0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0</v>
      </c>
      <c r="F13" s="4">
        <v>1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0</v>
      </c>
      <c r="G14" s="3" t="s">
        <v>12</v>
      </c>
      <c r="H14" s="2" t="str">
        <f t="shared" si="0"/>
        <v>H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0</v>
      </c>
      <c r="F15" s="4">
        <v>2</v>
      </c>
      <c r="G15" s="3" t="s">
        <v>19</v>
      </c>
      <c r="H15" s="2" t="str">
        <f t="shared" si="0"/>
        <v>A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1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1</v>
      </c>
      <c r="F18" s="4">
        <v>1</v>
      </c>
      <c r="G18" s="3" t="s">
        <v>21</v>
      </c>
      <c r="H18" s="2" t="str">
        <f t="shared" si="0"/>
        <v>D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2</v>
      </c>
      <c r="F19" s="4">
        <v>1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1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1</v>
      </c>
      <c r="F21" s="4">
        <v>0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0</v>
      </c>
      <c r="F23" s="4">
        <v>1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2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0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1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2</v>
      </c>
      <c r="F31" s="4">
        <v>1</v>
      </c>
      <c r="G31" s="3" t="s">
        <v>30</v>
      </c>
      <c r="H31" s="2" t="str">
        <f t="shared" si="0"/>
        <v>H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1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2</v>
      </c>
      <c r="F34" s="4">
        <v>1</v>
      </c>
      <c r="G34" s="3" t="s">
        <v>40</v>
      </c>
      <c r="H34" s="2" t="str">
        <f t="shared" si="0"/>
        <v>H</v>
      </c>
      <c r="J34">
        <v>1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1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1</v>
      </c>
      <c r="F36" s="4">
        <v>1</v>
      </c>
      <c r="G36" s="3" t="s">
        <v>38</v>
      </c>
      <c r="H36" s="2" t="str">
        <f t="shared" si="0"/>
        <v>D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1</v>
      </c>
      <c r="F38" s="4">
        <v>2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1</v>
      </c>
      <c r="F39" s="4">
        <v>1</v>
      </c>
      <c r="G39" s="3" t="s">
        <v>44</v>
      </c>
      <c r="H39" s="2" t="str">
        <f t="shared" si="0"/>
        <v>D</v>
      </c>
      <c r="J39">
        <v>1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2</v>
      </c>
      <c r="F40" s="4">
        <v>1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si="0"/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1</v>
      </c>
      <c r="G42" s="3" t="s">
        <v>44</v>
      </c>
      <c r="H42" s="2" t="str">
        <f t="shared" si="0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1</v>
      </c>
      <c r="G43" s="3" t="s">
        <v>45</v>
      </c>
      <c r="H43" s="2" t="str">
        <f t="shared" si="0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1</v>
      </c>
      <c r="F44" s="4">
        <v>2</v>
      </c>
      <c r="G44" s="3" t="s">
        <v>43</v>
      </c>
      <c r="H44" s="2" t="str">
        <f t="shared" si="0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1</v>
      </c>
      <c r="G45" s="3" t="s">
        <v>50</v>
      </c>
      <c r="H45" s="2" t="str">
        <f t="shared" si="0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0</v>
      </c>
      <c r="F46" s="4">
        <v>1</v>
      </c>
      <c r="G46" s="3" t="s">
        <v>52</v>
      </c>
      <c r="H46" s="2" t="str">
        <f t="shared" si="0"/>
        <v>A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1</v>
      </c>
      <c r="G47" s="3" t="s">
        <v>51</v>
      </c>
      <c r="H47" s="2" t="str">
        <f t="shared" si="0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2</v>
      </c>
      <c r="G48" s="3" t="s">
        <v>50</v>
      </c>
      <c r="H48" s="2" t="str">
        <f t="shared" si="0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2</v>
      </c>
      <c r="F49" s="4">
        <v>1</v>
      </c>
      <c r="G49" s="3" t="s">
        <v>51</v>
      </c>
      <c r="H49" s="2" t="str">
        <f t="shared" si="0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1</v>
      </c>
      <c r="F50" s="4">
        <v>2</v>
      </c>
      <c r="G50" s="3" t="s">
        <v>49</v>
      </c>
      <c r="H50" s="2" t="str">
        <f t="shared" si="0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2</v>
      </c>
      <c r="F51" s="4">
        <v>1</v>
      </c>
      <c r="G51" s="3" t="s">
        <v>57</v>
      </c>
      <c r="H51" s="2" t="str">
        <f t="shared" si="0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2</v>
      </c>
      <c r="G52" s="3" t="s">
        <v>59</v>
      </c>
      <c r="H52" s="2" t="str">
        <f t="shared" si="0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1</v>
      </c>
      <c r="G53" s="3" t="s">
        <v>58</v>
      </c>
      <c r="H53" s="2" t="str">
        <f t="shared" si="0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1</v>
      </c>
      <c r="G54" s="3" t="s">
        <v>57</v>
      </c>
      <c r="H54" s="2" t="str">
        <f t="shared" si="0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2</v>
      </c>
      <c r="F55" s="4">
        <v>1</v>
      </c>
      <c r="G55" s="3" t="s">
        <v>58</v>
      </c>
      <c r="H55" s="2" t="str">
        <f t="shared" si="0"/>
        <v>H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2</v>
      </c>
      <c r="G56" s="3" t="s">
        <v>56</v>
      </c>
      <c r="H56" s="2" t="str">
        <f t="shared" si="0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0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1</v>
      </c>
      <c r="F58" s="4">
        <v>2</v>
      </c>
      <c r="G58" s="3" t="s">
        <v>65</v>
      </c>
      <c r="H58" s="2" t="str">
        <f t="shared" si="0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2</v>
      </c>
      <c r="F59" s="4">
        <v>0</v>
      </c>
      <c r="G59" s="3" t="s">
        <v>64</v>
      </c>
      <c r="H59" s="2" t="str">
        <f t="shared" si="0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1</v>
      </c>
      <c r="F60" s="4">
        <v>1</v>
      </c>
      <c r="G60" s="3" t="s">
        <v>63</v>
      </c>
      <c r="H60" s="2" t="str">
        <f t="shared" si="0"/>
        <v>D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2</v>
      </c>
      <c r="G61" s="3" t="s">
        <v>62</v>
      </c>
      <c r="H61" s="2" t="str">
        <f t="shared" si="0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1</v>
      </c>
      <c r="F62" s="4">
        <v>0</v>
      </c>
      <c r="G62" s="3" t="s">
        <v>64</v>
      </c>
      <c r="H62" s="2" t="str">
        <f t="shared" si="0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0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1</v>
      </c>
      <c r="F64" s="4">
        <v>1</v>
      </c>
      <c r="G64" s="3" t="s">
        <v>71</v>
      </c>
      <c r="H64" s="2" t="str">
        <f t="shared" si="0"/>
        <v>D</v>
      </c>
      <c r="J64">
        <v>0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0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1</v>
      </c>
      <c r="F66" s="4">
        <v>2</v>
      </c>
      <c r="G66" s="3" t="s">
        <v>69</v>
      </c>
      <c r="H66" s="2" t="str">
        <f t="shared" si="0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2</v>
      </c>
      <c r="F67" s="4">
        <v>1</v>
      </c>
      <c r="G67" s="3" t="s">
        <v>70</v>
      </c>
      <c r="H67" s="2" t="str">
        <f t="shared" si="0"/>
        <v>H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1</v>
      </c>
      <c r="F68" s="4">
        <v>2</v>
      </c>
      <c r="G68" s="3" t="s">
        <v>68</v>
      </c>
      <c r="H68" s="2" t="str">
        <f t="shared" si="0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2</v>
      </c>
      <c r="F69" s="4">
        <v>1</v>
      </c>
      <c r="G69" s="3" t="s">
        <v>76</v>
      </c>
      <c r="H69" s="2" t="str">
        <f t="shared" si="0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2</v>
      </c>
      <c r="G70" s="3" t="s">
        <v>78</v>
      </c>
      <c r="H70" s="2" t="str">
        <f t="shared" si="0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1</v>
      </c>
      <c r="G71" s="3" t="s">
        <v>77</v>
      </c>
      <c r="H71" s="2" t="str">
        <f t="shared" si="0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1</v>
      </c>
      <c r="G72" s="3" t="s">
        <v>76</v>
      </c>
      <c r="H72" s="2" t="str">
        <f t="shared" si="0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2</v>
      </c>
      <c r="F73" s="4">
        <v>1</v>
      </c>
      <c r="G73" s="3" t="s">
        <v>75</v>
      </c>
      <c r="H73" s="2" t="str">
        <f t="shared" ref="H73:H80" si="1">IF(AND(E73&lt;&gt;"",F73&lt;&gt;""),IF(E73&gt;F73,"H",IF(E73&lt;F73,"A","D")),"")</f>
        <v>H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2</v>
      </c>
      <c r="G74" s="3" t="s">
        <v>77</v>
      </c>
      <c r="H74" s="2" t="str">
        <f t="shared" si="1"/>
        <v>A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2</v>
      </c>
      <c r="G75" s="3" t="s">
        <v>82</v>
      </c>
      <c r="H75" s="2" t="str">
        <f t="shared" si="1"/>
        <v>D</v>
      </c>
      <c r="J75">
        <v>0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1</v>
      </c>
      <c r="F76" s="4">
        <v>2</v>
      </c>
      <c r="G76" s="3" t="s">
        <v>84</v>
      </c>
      <c r="H76" s="2" t="str">
        <f t="shared" si="1"/>
        <v>A</v>
      </c>
      <c r="J76">
        <v>0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1</v>
      </c>
      <c r="G77" s="3" t="s">
        <v>83</v>
      </c>
      <c r="H77" s="2" t="str">
        <f t="shared" si="1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1</v>
      </c>
      <c r="F78" s="4">
        <v>2</v>
      </c>
      <c r="G78" s="3" t="s">
        <v>82</v>
      </c>
      <c r="H78" s="2" t="str">
        <f t="shared" si="1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1</v>
      </c>
      <c r="F79" s="4">
        <v>2</v>
      </c>
      <c r="G79" s="3" t="s">
        <v>81</v>
      </c>
      <c r="H79" s="2" t="str">
        <f t="shared" si="1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2</v>
      </c>
      <c r="G80" s="3" t="s">
        <v>83</v>
      </c>
      <c r="H80" s="2" t="str">
        <f t="shared" si="1"/>
        <v>A</v>
      </c>
      <c r="J80" s="54"/>
    </row>
    <row r="82" spans="10:10" x14ac:dyDescent="0.35">
      <c r="J82">
        <f>SUM(J8:J80)</f>
        <v>12</v>
      </c>
    </row>
  </sheetData>
  <pageMargins left="0.75" right="0.75" top="1" bottom="1" header="0.5" footer="0.5"/>
  <pageSetup paperSize="9" orientation="portrait" r:id="rId1"/>
  <headerFooter>
    <oddFooter>&amp;C_x000D_&amp;1#&amp;"Aptos"&amp;10&amp;KFF0000 Xerox General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6EA3-051D-4EA0-8AE1-65C181C79BB6}">
  <sheetPr codeName="Blad2">
    <tabColor theme="8" tint="0.39997558519241921"/>
  </sheetPr>
  <dimension ref="A5:Q42"/>
  <sheetViews>
    <sheetView topLeftCell="A7" workbookViewId="0">
      <selection activeCell="K26" sqref="K26"/>
    </sheetView>
  </sheetViews>
  <sheetFormatPr defaultColWidth="8.7265625" defaultRowHeight="14.5" x14ac:dyDescent="0.35"/>
  <cols>
    <col min="1" max="1" width="3.26953125" customWidth="1"/>
    <col min="2" max="2" width="20.7265625" customWidth="1"/>
    <col min="3" max="3" width="1.7265625" customWidth="1"/>
    <col min="4" max="4" width="3.26953125" customWidth="1"/>
    <col min="5" max="5" width="20.7265625" customWidth="1"/>
    <col min="6" max="6" width="1.7265625" customWidth="1"/>
    <col min="7" max="7" width="3.26953125" customWidth="1"/>
    <col min="8" max="8" width="20.7265625" customWidth="1"/>
    <col min="9" max="9" width="1.7265625" customWidth="1"/>
    <col min="10" max="10" width="3.26953125" customWidth="1"/>
    <col min="11" max="11" width="20.7265625" customWidth="1"/>
    <col min="12" max="12" width="1.7265625" customWidth="1"/>
    <col min="13" max="13" width="3.26953125" customWidth="1"/>
    <col min="14" max="14" width="20.7265625" customWidth="1"/>
    <col min="15" max="15" width="1.7265625" customWidth="1"/>
    <col min="16" max="16" width="3.26953125" customWidth="1"/>
    <col min="17" max="17" width="20.72656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91</v>
      </c>
      <c r="D10" s="10">
        <v>1</v>
      </c>
      <c r="E10" s="11" t="s">
        <v>91</v>
      </c>
      <c r="G10" s="10">
        <v>1</v>
      </c>
      <c r="H10" s="11" t="s">
        <v>91</v>
      </c>
      <c r="J10" s="10">
        <v>1</v>
      </c>
      <c r="K10" s="11" t="s">
        <v>91</v>
      </c>
      <c r="M10" s="10">
        <v>1</v>
      </c>
      <c r="N10" s="11" t="s">
        <v>91</v>
      </c>
      <c r="P10" s="10">
        <v>1</v>
      </c>
      <c r="Q10" s="11" t="s">
        <v>92</v>
      </c>
    </row>
    <row r="11" spans="1:17" s="9" customFormat="1" x14ac:dyDescent="0.35">
      <c r="A11" s="10">
        <f>A10+1</f>
        <v>2</v>
      </c>
      <c r="B11" s="11" t="s">
        <v>93</v>
      </c>
      <c r="D11" s="10">
        <f>D10+1</f>
        <v>2</v>
      </c>
      <c r="E11" s="11" t="s">
        <v>93</v>
      </c>
      <c r="G11" s="10">
        <f>G10+1</f>
        <v>2</v>
      </c>
      <c r="H11" s="11" t="s">
        <v>94</v>
      </c>
      <c r="J11" s="10">
        <f>J10+1</f>
        <v>2</v>
      </c>
      <c r="K11" s="11" t="s">
        <v>94</v>
      </c>
      <c r="M11" s="10">
        <f>M10+1</f>
        <v>2</v>
      </c>
      <c r="N11" s="11" t="s">
        <v>92</v>
      </c>
    </row>
    <row r="12" spans="1:17" s="9" customFormat="1" x14ac:dyDescent="0.35">
      <c r="A12" s="10">
        <f t="shared" ref="A12:A41" si="0">A11+1</f>
        <v>3</v>
      </c>
      <c r="B12" s="11" t="s">
        <v>95</v>
      </c>
      <c r="D12" s="10">
        <f t="shared" ref="D12:D25" si="1">D11+1</f>
        <v>3</v>
      </c>
      <c r="E12" s="11" t="s">
        <v>96</v>
      </c>
      <c r="G12" s="10">
        <f t="shared" ref="G12:G17" si="2">G11+1</f>
        <v>3</v>
      </c>
      <c r="H12" s="11" t="s">
        <v>97</v>
      </c>
      <c r="J12" s="10">
        <f t="shared" ref="J12:J13" si="3">J11+1</f>
        <v>3</v>
      </c>
      <c r="K12" s="11" t="s">
        <v>92</v>
      </c>
    </row>
    <row r="13" spans="1:17" s="9" customFormat="1" x14ac:dyDescent="0.35">
      <c r="A13" s="10">
        <f t="shared" si="0"/>
        <v>4</v>
      </c>
      <c r="B13" s="11" t="s">
        <v>98</v>
      </c>
      <c r="D13" s="10">
        <f t="shared" si="1"/>
        <v>4</v>
      </c>
      <c r="E13" s="11" t="s">
        <v>94</v>
      </c>
      <c r="G13" s="10">
        <f t="shared" si="2"/>
        <v>4</v>
      </c>
      <c r="H13" s="11" t="s">
        <v>99</v>
      </c>
      <c r="J13" s="10">
        <f t="shared" si="3"/>
        <v>4</v>
      </c>
      <c r="K13" s="11" t="s">
        <v>93</v>
      </c>
    </row>
    <row r="14" spans="1:17" s="9" customFormat="1" x14ac:dyDescent="0.35">
      <c r="A14" s="10">
        <f t="shared" si="0"/>
        <v>5</v>
      </c>
      <c r="B14" s="11" t="s">
        <v>100</v>
      </c>
      <c r="D14" s="10">
        <f t="shared" si="1"/>
        <v>5</v>
      </c>
      <c r="E14" s="11" t="s">
        <v>101</v>
      </c>
      <c r="G14" s="10">
        <f t="shared" si="2"/>
        <v>5</v>
      </c>
      <c r="H14" s="11" t="s">
        <v>92</v>
      </c>
    </row>
    <row r="15" spans="1:17" s="9" customFormat="1" x14ac:dyDescent="0.35">
      <c r="A15" s="10">
        <f t="shared" si="0"/>
        <v>6</v>
      </c>
      <c r="B15" s="11" t="s">
        <v>102</v>
      </c>
      <c r="D15" s="10">
        <f t="shared" si="1"/>
        <v>6</v>
      </c>
      <c r="E15" s="11" t="s">
        <v>103</v>
      </c>
      <c r="G15" s="10">
        <f t="shared" si="2"/>
        <v>6</v>
      </c>
      <c r="H15" s="11" t="s">
        <v>101</v>
      </c>
    </row>
    <row r="16" spans="1:17" s="9" customFormat="1" x14ac:dyDescent="0.35">
      <c r="A16" s="10">
        <f t="shared" si="0"/>
        <v>7</v>
      </c>
      <c r="B16" s="11" t="s">
        <v>104</v>
      </c>
      <c r="D16" s="10">
        <f t="shared" si="1"/>
        <v>7</v>
      </c>
      <c r="E16" s="11" t="s">
        <v>105</v>
      </c>
      <c r="G16" s="10">
        <f t="shared" si="2"/>
        <v>7</v>
      </c>
      <c r="H16" s="11" t="s">
        <v>93</v>
      </c>
    </row>
    <row r="17" spans="1:11" s="9" customFormat="1" x14ac:dyDescent="0.35">
      <c r="A17" s="10">
        <f t="shared" si="0"/>
        <v>8</v>
      </c>
      <c r="B17" s="11" t="s">
        <v>96</v>
      </c>
      <c r="D17" s="10">
        <f t="shared" si="1"/>
        <v>8</v>
      </c>
      <c r="E17" s="11" t="s">
        <v>106</v>
      </c>
      <c r="G17" s="10">
        <f t="shared" si="2"/>
        <v>8</v>
      </c>
      <c r="H17" s="11" t="s">
        <v>107</v>
      </c>
    </row>
    <row r="18" spans="1:11" s="9" customFormat="1" x14ac:dyDescent="0.35">
      <c r="A18" s="10">
        <f t="shared" si="0"/>
        <v>9</v>
      </c>
      <c r="B18" s="11" t="s">
        <v>108</v>
      </c>
      <c r="D18" s="10">
        <f t="shared" si="1"/>
        <v>9</v>
      </c>
      <c r="E18" s="11" t="s">
        <v>99</v>
      </c>
    </row>
    <row r="19" spans="1:11" s="9" customFormat="1" x14ac:dyDescent="0.35">
      <c r="A19" s="10">
        <f t="shared" si="0"/>
        <v>10</v>
      </c>
      <c r="B19" s="11" t="s">
        <v>94</v>
      </c>
      <c r="D19" s="10">
        <f t="shared" si="1"/>
        <v>10</v>
      </c>
      <c r="E19" s="11" t="s">
        <v>97</v>
      </c>
    </row>
    <row r="20" spans="1:11" s="9" customFormat="1" x14ac:dyDescent="0.35">
      <c r="A20" s="10">
        <f t="shared" si="0"/>
        <v>11</v>
      </c>
      <c r="B20" s="11" t="s">
        <v>103</v>
      </c>
      <c r="D20" s="10">
        <f t="shared" si="1"/>
        <v>11</v>
      </c>
      <c r="E20" s="11" t="s">
        <v>109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111</v>
      </c>
      <c r="D21" s="10">
        <f t="shared" si="1"/>
        <v>12</v>
      </c>
      <c r="E21" s="11" t="s">
        <v>92</v>
      </c>
    </row>
    <row r="22" spans="1:11" s="9" customFormat="1" x14ac:dyDescent="0.35">
      <c r="A22" s="10">
        <f t="shared" si="0"/>
        <v>13</v>
      </c>
      <c r="B22" s="11" t="s">
        <v>101</v>
      </c>
      <c r="D22" s="10">
        <f t="shared" si="1"/>
        <v>13</v>
      </c>
      <c r="E22" s="11" t="s">
        <v>112</v>
      </c>
      <c r="H22" s="9" t="s">
        <v>113</v>
      </c>
      <c r="K22" s="11" t="s">
        <v>114</v>
      </c>
    </row>
    <row r="23" spans="1:11" s="9" customFormat="1" x14ac:dyDescent="0.35">
      <c r="A23" s="10">
        <f t="shared" si="0"/>
        <v>14</v>
      </c>
      <c r="B23" s="11" t="s">
        <v>115</v>
      </c>
      <c r="D23" s="10">
        <f t="shared" si="1"/>
        <v>14</v>
      </c>
      <c r="E23" s="11" t="s">
        <v>107</v>
      </c>
      <c r="H23" s="9" t="s">
        <v>116</v>
      </c>
      <c r="K23" s="11" t="s">
        <v>117</v>
      </c>
    </row>
    <row r="24" spans="1:11" s="9" customFormat="1" x14ac:dyDescent="0.35">
      <c r="A24" s="10">
        <f t="shared" si="0"/>
        <v>15</v>
      </c>
      <c r="B24" s="11" t="s">
        <v>92</v>
      </c>
      <c r="D24" s="10">
        <f t="shared" si="1"/>
        <v>15</v>
      </c>
      <c r="E24" s="11" t="s">
        <v>118</v>
      </c>
      <c r="H24" s="9" t="s">
        <v>119</v>
      </c>
      <c r="K24" s="11" t="s">
        <v>120</v>
      </c>
    </row>
    <row r="25" spans="1:11" s="9" customFormat="1" x14ac:dyDescent="0.35">
      <c r="A25" s="10">
        <f t="shared" si="0"/>
        <v>16</v>
      </c>
      <c r="B25" s="11" t="s">
        <v>121</v>
      </c>
      <c r="D25" s="10">
        <f t="shared" si="1"/>
        <v>16</v>
      </c>
      <c r="E25" s="11" t="s">
        <v>104</v>
      </c>
    </row>
    <row r="26" spans="1:11" s="9" customFormat="1" x14ac:dyDescent="0.35">
      <c r="A26" s="10">
        <f t="shared" si="0"/>
        <v>17</v>
      </c>
      <c r="B26" s="11" t="s">
        <v>106</v>
      </c>
      <c r="H26" s="9" t="s">
        <v>122</v>
      </c>
      <c r="K26" s="13">
        <v>214</v>
      </c>
    </row>
    <row r="27" spans="1:11" s="9" customFormat="1" x14ac:dyDescent="0.35">
      <c r="A27" s="10">
        <f t="shared" si="0"/>
        <v>18</v>
      </c>
      <c r="B27" s="11" t="s">
        <v>123</v>
      </c>
      <c r="H27" s="9" t="s">
        <v>124</v>
      </c>
    </row>
    <row r="28" spans="1:11" x14ac:dyDescent="0.35">
      <c r="A28" s="10">
        <f t="shared" si="0"/>
        <v>19</v>
      </c>
      <c r="B28" s="11" t="s">
        <v>105</v>
      </c>
    </row>
    <row r="29" spans="1:11" x14ac:dyDescent="0.35">
      <c r="A29" s="10">
        <f t="shared" si="0"/>
        <v>20</v>
      </c>
      <c r="B29" s="11" t="s">
        <v>125</v>
      </c>
    </row>
    <row r="30" spans="1:11" x14ac:dyDescent="0.35">
      <c r="A30" s="10">
        <f t="shared" si="0"/>
        <v>21</v>
      </c>
      <c r="B30" s="11" t="s">
        <v>126</v>
      </c>
    </row>
    <row r="31" spans="1:11" x14ac:dyDescent="0.35">
      <c r="A31" s="10">
        <f t="shared" si="0"/>
        <v>22</v>
      </c>
      <c r="B31" s="11" t="s">
        <v>99</v>
      </c>
    </row>
    <row r="32" spans="1:11" x14ac:dyDescent="0.35">
      <c r="A32" s="10">
        <f t="shared" si="0"/>
        <v>23</v>
      </c>
      <c r="B32" s="11" t="s">
        <v>112</v>
      </c>
    </row>
    <row r="33" spans="1:2" x14ac:dyDescent="0.35">
      <c r="A33" s="10">
        <f t="shared" si="0"/>
        <v>24</v>
      </c>
      <c r="B33" s="11" t="s">
        <v>107</v>
      </c>
    </row>
    <row r="34" spans="1:2" x14ac:dyDescent="0.35">
      <c r="A34" s="10">
        <f t="shared" si="0"/>
        <v>25</v>
      </c>
      <c r="B34" s="11" t="s">
        <v>127</v>
      </c>
    </row>
    <row r="35" spans="1:2" x14ac:dyDescent="0.35">
      <c r="A35" s="10">
        <f t="shared" si="0"/>
        <v>26</v>
      </c>
      <c r="B35" s="11" t="s">
        <v>128</v>
      </c>
    </row>
    <row r="36" spans="1:2" x14ac:dyDescent="0.35">
      <c r="A36" s="10">
        <f t="shared" si="0"/>
        <v>27</v>
      </c>
      <c r="B36" s="11" t="s">
        <v>129</v>
      </c>
    </row>
    <row r="37" spans="1:2" x14ac:dyDescent="0.35">
      <c r="A37" s="10">
        <f t="shared" si="0"/>
        <v>28</v>
      </c>
      <c r="B37" s="11" t="s">
        <v>130</v>
      </c>
    </row>
    <row r="38" spans="1:2" x14ac:dyDescent="0.35">
      <c r="A38" s="10">
        <f t="shared" si="0"/>
        <v>29</v>
      </c>
      <c r="B38" s="11" t="s">
        <v>97</v>
      </c>
    </row>
    <row r="39" spans="1:2" x14ac:dyDescent="0.35">
      <c r="A39" s="10">
        <f t="shared" si="0"/>
        <v>30</v>
      </c>
      <c r="B39" s="11" t="s">
        <v>109</v>
      </c>
    </row>
    <row r="40" spans="1:2" x14ac:dyDescent="0.35">
      <c r="A40" s="10">
        <f t="shared" si="0"/>
        <v>31</v>
      </c>
      <c r="B40" s="11" t="s">
        <v>131</v>
      </c>
    </row>
    <row r="41" spans="1:2" x14ac:dyDescent="0.35">
      <c r="A41" s="10">
        <f t="shared" si="0"/>
        <v>32</v>
      </c>
      <c r="B41" s="11" t="s">
        <v>118</v>
      </c>
    </row>
    <row r="42" spans="1:2" x14ac:dyDescent="0.35">
      <c r="A42" s="10"/>
    </row>
  </sheetData>
  <pageMargins left="0.75" right="0.75" top="1" bottom="1" header="0.5" footer="0.5"/>
  <headerFooter>
    <oddFooter>&amp;C_x000D_&amp;1#&amp;"Aptos"&amp;10&amp;KFF0000 Xerox General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3C45-5D3B-4749-BF61-6C5D8E2EB31C}">
  <sheetPr codeName="Blad3">
    <tabColor rgb="FF93CDDD"/>
  </sheetPr>
  <dimension ref="A6:J82"/>
  <sheetViews>
    <sheetView topLeftCell="A67" zoomScaleNormal="100" workbookViewId="0">
      <selection activeCell="J82" sqref="J82"/>
    </sheetView>
  </sheetViews>
  <sheetFormatPr defaultColWidth="8.6328125" defaultRowHeight="14.5" x14ac:dyDescent="0.35"/>
  <cols>
    <col min="1" max="1" width="5" style="14" customWidth="1"/>
    <col min="2" max="2" width="12" style="14" customWidth="1"/>
    <col min="3" max="3" width="7" style="14" customWidth="1"/>
    <col min="4" max="4" width="20" style="14" customWidth="1"/>
    <col min="5" max="6" width="5" style="14" customWidth="1"/>
    <col min="7" max="7" width="20" style="14" customWidth="1"/>
    <col min="8" max="8" width="5" style="14" hidden="1" customWidth="1"/>
    <col min="9" max="9" width="2.81640625" style="14" customWidth="1"/>
    <col min="10" max="16384" width="8.6328125" style="14"/>
  </cols>
  <sheetData>
    <row r="6" spans="1:10" x14ac:dyDescent="0.35">
      <c r="J6" s="53" t="s">
        <v>342</v>
      </c>
    </row>
    <row r="8" spans="1:10" ht="14.25" customHeight="1" x14ac:dyDescent="0.35">
      <c r="A8" s="18" t="s">
        <v>0</v>
      </c>
      <c r="B8" s="18" t="s">
        <v>1</v>
      </c>
      <c r="C8" s="18" t="s">
        <v>2</v>
      </c>
      <c r="D8" s="18" t="s">
        <v>3</v>
      </c>
      <c r="E8" s="18" t="s">
        <v>4</v>
      </c>
      <c r="F8" s="18" t="s">
        <v>5</v>
      </c>
      <c r="G8" s="18" t="s">
        <v>6</v>
      </c>
      <c r="H8" s="18" t="s">
        <v>7</v>
      </c>
    </row>
    <row r="9" spans="1:10" ht="14.25" customHeight="1" x14ac:dyDescent="0.35">
      <c r="A9" s="15">
        <v>1</v>
      </c>
      <c r="B9" s="15" t="s">
        <v>8</v>
      </c>
      <c r="C9" s="15" t="s">
        <v>9</v>
      </c>
      <c r="D9" s="16" t="s">
        <v>10</v>
      </c>
      <c r="E9" s="17">
        <v>2</v>
      </c>
      <c r="F9" s="17">
        <v>0</v>
      </c>
      <c r="G9" s="16" t="s">
        <v>11</v>
      </c>
      <c r="H9" s="15" t="str">
        <f t="shared" ref="H9:H40" si="0">IF(AND(E9&lt;&gt;"",F9&lt;&gt;""),IF(E9&gt;F9,"H",IF(E9&lt;F9,"A","D")),"")</f>
        <v>H</v>
      </c>
      <c r="J9" s="14">
        <v>3</v>
      </c>
    </row>
    <row r="10" spans="1:10" ht="14.25" customHeight="1" x14ac:dyDescent="0.35">
      <c r="A10" s="15">
        <v>2</v>
      </c>
      <c r="B10" s="15" t="s">
        <v>8</v>
      </c>
      <c r="C10" s="15" t="s">
        <v>9</v>
      </c>
      <c r="D10" s="16" t="s">
        <v>12</v>
      </c>
      <c r="E10" s="17">
        <v>2</v>
      </c>
      <c r="F10" s="17">
        <v>1</v>
      </c>
      <c r="G10" s="16" t="s">
        <v>13</v>
      </c>
      <c r="H10" s="15" t="str">
        <f t="shared" si="0"/>
        <v>H</v>
      </c>
      <c r="J10" s="14">
        <v>3</v>
      </c>
    </row>
    <row r="11" spans="1:10" ht="14.25" customHeight="1" x14ac:dyDescent="0.35">
      <c r="A11" s="15">
        <v>3</v>
      </c>
      <c r="B11" s="15" t="s">
        <v>14</v>
      </c>
      <c r="C11" s="15" t="s">
        <v>9</v>
      </c>
      <c r="D11" s="16" t="s">
        <v>13</v>
      </c>
      <c r="E11" s="17">
        <v>2</v>
      </c>
      <c r="F11" s="17">
        <v>1</v>
      </c>
      <c r="G11" s="16" t="s">
        <v>11</v>
      </c>
      <c r="H11" s="15" t="str">
        <f t="shared" si="0"/>
        <v>H</v>
      </c>
    </row>
    <row r="12" spans="1:10" ht="14.25" customHeight="1" x14ac:dyDescent="0.35">
      <c r="A12" s="15">
        <v>4</v>
      </c>
      <c r="B12" s="15" t="s">
        <v>14</v>
      </c>
      <c r="C12" s="15" t="s">
        <v>9</v>
      </c>
      <c r="D12" s="16" t="s">
        <v>10</v>
      </c>
      <c r="E12" s="17">
        <v>2</v>
      </c>
      <c r="F12" s="17">
        <v>1</v>
      </c>
      <c r="G12" s="16" t="s">
        <v>12</v>
      </c>
      <c r="H12" s="15" t="str">
        <f t="shared" si="0"/>
        <v>H</v>
      </c>
    </row>
    <row r="13" spans="1:10" ht="14.25" customHeight="1" x14ac:dyDescent="0.35">
      <c r="A13" s="15">
        <v>5</v>
      </c>
      <c r="B13" s="15" t="s">
        <v>15</v>
      </c>
      <c r="C13" s="15" t="s">
        <v>9</v>
      </c>
      <c r="D13" s="16" t="s">
        <v>13</v>
      </c>
      <c r="E13" s="17">
        <v>1</v>
      </c>
      <c r="F13" s="17">
        <v>2</v>
      </c>
      <c r="G13" s="16" t="s">
        <v>10</v>
      </c>
      <c r="H13" s="15" t="str">
        <f t="shared" si="0"/>
        <v>A</v>
      </c>
    </row>
    <row r="14" spans="1:10" ht="14.25" customHeight="1" x14ac:dyDescent="0.35">
      <c r="A14" s="15">
        <v>6</v>
      </c>
      <c r="B14" s="15" t="s">
        <v>15</v>
      </c>
      <c r="C14" s="15" t="s">
        <v>9</v>
      </c>
      <c r="D14" s="16" t="s">
        <v>11</v>
      </c>
      <c r="E14" s="17">
        <v>1</v>
      </c>
      <c r="F14" s="17">
        <v>2</v>
      </c>
      <c r="G14" s="16" t="s">
        <v>12</v>
      </c>
      <c r="H14" s="15" t="str">
        <f t="shared" si="0"/>
        <v>A</v>
      </c>
    </row>
    <row r="15" spans="1:10" ht="14.25" customHeight="1" x14ac:dyDescent="0.35">
      <c r="A15" s="15">
        <v>7</v>
      </c>
      <c r="B15" s="15" t="s">
        <v>16</v>
      </c>
      <c r="C15" s="15" t="s">
        <v>17</v>
      </c>
      <c r="D15" s="16" t="s">
        <v>18</v>
      </c>
      <c r="E15" s="17">
        <v>2</v>
      </c>
      <c r="F15" s="17">
        <v>1</v>
      </c>
      <c r="G15" s="16" t="s">
        <v>19</v>
      </c>
      <c r="H15" s="15" t="str">
        <f t="shared" si="0"/>
        <v>H</v>
      </c>
      <c r="J15" s="14">
        <v>0</v>
      </c>
    </row>
    <row r="16" spans="1:10" ht="14.25" customHeight="1" x14ac:dyDescent="0.35">
      <c r="A16" s="15">
        <v>8</v>
      </c>
      <c r="B16" s="15" t="s">
        <v>20</v>
      </c>
      <c r="C16" s="15" t="s">
        <v>17</v>
      </c>
      <c r="D16" s="16" t="s">
        <v>21</v>
      </c>
      <c r="E16" s="17">
        <v>0</v>
      </c>
      <c r="F16" s="17">
        <v>2</v>
      </c>
      <c r="G16" s="16" t="s">
        <v>22</v>
      </c>
      <c r="H16" s="15" t="str">
        <f t="shared" si="0"/>
        <v>A</v>
      </c>
      <c r="J16" s="14">
        <v>0</v>
      </c>
    </row>
    <row r="17" spans="1:10" ht="14.25" customHeight="1" x14ac:dyDescent="0.35">
      <c r="A17" s="15">
        <v>9</v>
      </c>
      <c r="B17" s="15" t="s">
        <v>14</v>
      </c>
      <c r="C17" s="15" t="s">
        <v>17</v>
      </c>
      <c r="D17" s="16" t="s">
        <v>22</v>
      </c>
      <c r="E17" s="17">
        <v>2</v>
      </c>
      <c r="F17" s="17">
        <v>1</v>
      </c>
      <c r="G17" s="16" t="s">
        <v>19</v>
      </c>
      <c r="H17" s="15" t="str">
        <f t="shared" si="0"/>
        <v>H</v>
      </c>
    </row>
    <row r="18" spans="1:10" ht="14.25" customHeight="1" x14ac:dyDescent="0.35">
      <c r="A18" s="15">
        <v>10</v>
      </c>
      <c r="B18" s="15" t="s">
        <v>14</v>
      </c>
      <c r="C18" s="15" t="s">
        <v>17</v>
      </c>
      <c r="D18" s="16" t="s">
        <v>18</v>
      </c>
      <c r="E18" s="17">
        <v>3</v>
      </c>
      <c r="F18" s="17">
        <v>0</v>
      </c>
      <c r="G18" s="16" t="s">
        <v>21</v>
      </c>
      <c r="H18" s="15" t="str">
        <f t="shared" si="0"/>
        <v>H</v>
      </c>
    </row>
    <row r="19" spans="1:10" ht="14.25" customHeight="1" x14ac:dyDescent="0.35">
      <c r="A19" s="15">
        <v>11</v>
      </c>
      <c r="B19" s="15" t="s">
        <v>15</v>
      </c>
      <c r="C19" s="15" t="s">
        <v>17</v>
      </c>
      <c r="D19" s="16" t="s">
        <v>22</v>
      </c>
      <c r="E19" s="17">
        <v>1</v>
      </c>
      <c r="F19" s="17">
        <v>1</v>
      </c>
      <c r="G19" s="16" t="s">
        <v>18</v>
      </c>
      <c r="H19" s="15" t="str">
        <f t="shared" si="0"/>
        <v>D</v>
      </c>
    </row>
    <row r="20" spans="1:10" ht="14.25" customHeight="1" x14ac:dyDescent="0.35">
      <c r="A20" s="15">
        <v>12</v>
      </c>
      <c r="B20" s="15" t="s">
        <v>15</v>
      </c>
      <c r="C20" s="15" t="s">
        <v>17</v>
      </c>
      <c r="D20" s="16" t="s">
        <v>19</v>
      </c>
      <c r="E20" s="17">
        <v>2</v>
      </c>
      <c r="F20" s="17">
        <v>1</v>
      </c>
      <c r="G20" s="16" t="s">
        <v>21</v>
      </c>
      <c r="H20" s="15" t="str">
        <f t="shared" si="0"/>
        <v>H</v>
      </c>
    </row>
    <row r="21" spans="1:10" ht="14.25" customHeight="1" x14ac:dyDescent="0.35">
      <c r="A21" s="15">
        <v>13</v>
      </c>
      <c r="B21" s="15" t="s">
        <v>20</v>
      </c>
      <c r="C21" s="15" t="s">
        <v>23</v>
      </c>
      <c r="D21" s="16" t="s">
        <v>24</v>
      </c>
      <c r="E21" s="17">
        <v>2</v>
      </c>
      <c r="F21" s="17">
        <v>0</v>
      </c>
      <c r="G21" s="16" t="s">
        <v>25</v>
      </c>
      <c r="H21" s="15" t="str">
        <f t="shared" si="0"/>
        <v>H</v>
      </c>
      <c r="J21" s="14">
        <v>0</v>
      </c>
    </row>
    <row r="22" spans="1:10" ht="14.25" customHeight="1" x14ac:dyDescent="0.35">
      <c r="A22" s="15">
        <v>14</v>
      </c>
      <c r="B22" s="15" t="s">
        <v>20</v>
      </c>
      <c r="C22" s="15" t="s">
        <v>23</v>
      </c>
      <c r="D22" s="16" t="s">
        <v>26</v>
      </c>
      <c r="E22" s="17">
        <v>1</v>
      </c>
      <c r="F22" s="17">
        <v>2</v>
      </c>
      <c r="G22" s="16" t="s">
        <v>27</v>
      </c>
      <c r="H22" s="15" t="str">
        <f t="shared" si="0"/>
        <v>A</v>
      </c>
      <c r="J22" s="14">
        <v>1</v>
      </c>
    </row>
    <row r="23" spans="1:10" ht="14.25" customHeight="1" x14ac:dyDescent="0.35">
      <c r="A23" s="15">
        <v>15</v>
      </c>
      <c r="B23" s="15" t="s">
        <v>28</v>
      </c>
      <c r="C23" s="15" t="s">
        <v>23</v>
      </c>
      <c r="D23" s="16" t="s">
        <v>27</v>
      </c>
      <c r="E23" s="17">
        <v>1</v>
      </c>
      <c r="F23" s="17">
        <v>2</v>
      </c>
      <c r="G23" s="16" t="s">
        <v>25</v>
      </c>
      <c r="H23" s="15" t="str">
        <f t="shared" si="0"/>
        <v>A</v>
      </c>
    </row>
    <row r="24" spans="1:10" ht="14.25" customHeight="1" x14ac:dyDescent="0.35">
      <c r="A24" s="15">
        <v>16</v>
      </c>
      <c r="B24" s="15" t="s">
        <v>28</v>
      </c>
      <c r="C24" s="15" t="s">
        <v>23</v>
      </c>
      <c r="D24" s="16" t="s">
        <v>24</v>
      </c>
      <c r="E24" s="17">
        <v>4</v>
      </c>
      <c r="F24" s="17">
        <v>0</v>
      </c>
      <c r="G24" s="16" t="s">
        <v>26</v>
      </c>
      <c r="H24" s="15" t="str">
        <f t="shared" si="0"/>
        <v>H</v>
      </c>
    </row>
    <row r="25" spans="1:10" ht="14.25" customHeight="1" x14ac:dyDescent="0.35">
      <c r="A25" s="15">
        <v>17</v>
      </c>
      <c r="B25" s="15" t="s">
        <v>15</v>
      </c>
      <c r="C25" s="15" t="s">
        <v>23</v>
      </c>
      <c r="D25" s="16" t="s">
        <v>27</v>
      </c>
      <c r="E25" s="17">
        <v>0</v>
      </c>
      <c r="F25" s="17">
        <v>4</v>
      </c>
      <c r="G25" s="16" t="s">
        <v>24</v>
      </c>
      <c r="H25" s="15" t="str">
        <f t="shared" si="0"/>
        <v>A</v>
      </c>
    </row>
    <row r="26" spans="1:10" ht="14.25" customHeight="1" x14ac:dyDescent="0.35">
      <c r="A26" s="15">
        <v>18</v>
      </c>
      <c r="B26" s="15" t="s">
        <v>15</v>
      </c>
      <c r="C26" s="15" t="s">
        <v>23</v>
      </c>
      <c r="D26" s="16" t="s">
        <v>25</v>
      </c>
      <c r="E26" s="17">
        <v>2</v>
      </c>
      <c r="F26" s="17">
        <v>0</v>
      </c>
      <c r="G26" s="16" t="s">
        <v>26</v>
      </c>
      <c r="H26" s="15" t="str">
        <f t="shared" si="0"/>
        <v>H</v>
      </c>
    </row>
    <row r="27" spans="1:10" ht="14.25" customHeight="1" x14ac:dyDescent="0.35">
      <c r="A27" s="15">
        <v>19</v>
      </c>
      <c r="B27" s="15" t="s">
        <v>16</v>
      </c>
      <c r="C27" s="15" t="s">
        <v>29</v>
      </c>
      <c r="D27" s="16" t="s">
        <v>30</v>
      </c>
      <c r="E27" s="17">
        <v>2</v>
      </c>
      <c r="F27" s="17">
        <v>0</v>
      </c>
      <c r="G27" s="16" t="s">
        <v>31</v>
      </c>
      <c r="H27" s="15" t="str">
        <f t="shared" si="0"/>
        <v>H</v>
      </c>
      <c r="J27" s="14">
        <v>1</v>
      </c>
    </row>
    <row r="28" spans="1:10" ht="14.25" customHeight="1" x14ac:dyDescent="0.35">
      <c r="A28" s="15">
        <v>20</v>
      </c>
      <c r="B28" s="15" t="s">
        <v>20</v>
      </c>
      <c r="C28" s="15" t="s">
        <v>29</v>
      </c>
      <c r="D28" s="16" t="s">
        <v>32</v>
      </c>
      <c r="E28" s="17">
        <v>1</v>
      </c>
      <c r="F28" s="17">
        <v>2</v>
      </c>
      <c r="G28" s="16" t="s">
        <v>33</v>
      </c>
      <c r="H28" s="15" t="str">
        <f t="shared" si="0"/>
        <v>A</v>
      </c>
      <c r="J28" s="14">
        <v>0</v>
      </c>
    </row>
    <row r="29" spans="1:10" ht="14.25" customHeight="1" x14ac:dyDescent="0.35">
      <c r="A29" s="15">
        <v>21</v>
      </c>
      <c r="B29" s="15" t="s">
        <v>28</v>
      </c>
      <c r="C29" s="15" t="s">
        <v>29</v>
      </c>
      <c r="D29" s="16" t="s">
        <v>30</v>
      </c>
      <c r="E29" s="17">
        <v>2</v>
      </c>
      <c r="F29" s="17">
        <v>0</v>
      </c>
      <c r="G29" s="16" t="s">
        <v>32</v>
      </c>
      <c r="H29" s="15" t="str">
        <f t="shared" si="0"/>
        <v>H</v>
      </c>
    </row>
    <row r="30" spans="1:10" ht="14.25" customHeight="1" x14ac:dyDescent="0.35">
      <c r="A30" s="15">
        <v>22</v>
      </c>
      <c r="B30" s="15" t="s">
        <v>28</v>
      </c>
      <c r="C30" s="15" t="s">
        <v>29</v>
      </c>
      <c r="D30" s="16" t="s">
        <v>33</v>
      </c>
      <c r="E30" s="17">
        <v>2</v>
      </c>
      <c r="F30" s="17">
        <v>1</v>
      </c>
      <c r="G30" s="16" t="s">
        <v>31</v>
      </c>
      <c r="H30" s="15" t="str">
        <f t="shared" si="0"/>
        <v>H</v>
      </c>
    </row>
    <row r="31" spans="1:10" ht="14.25" customHeight="1" x14ac:dyDescent="0.35">
      <c r="A31" s="15">
        <v>23</v>
      </c>
      <c r="B31" s="15" t="s">
        <v>34</v>
      </c>
      <c r="C31" s="15" t="s">
        <v>29</v>
      </c>
      <c r="D31" s="16" t="s">
        <v>33</v>
      </c>
      <c r="E31" s="17">
        <v>1</v>
      </c>
      <c r="F31" s="17">
        <v>2</v>
      </c>
      <c r="G31" s="16" t="s">
        <v>30</v>
      </c>
      <c r="H31" s="15" t="str">
        <f t="shared" si="0"/>
        <v>A</v>
      </c>
    </row>
    <row r="32" spans="1:10" ht="14.25" customHeight="1" x14ac:dyDescent="0.35">
      <c r="A32" s="15">
        <v>24</v>
      </c>
      <c r="B32" s="15" t="s">
        <v>34</v>
      </c>
      <c r="C32" s="15" t="s">
        <v>29</v>
      </c>
      <c r="D32" s="16" t="s">
        <v>31</v>
      </c>
      <c r="E32" s="17">
        <v>1</v>
      </c>
      <c r="F32" s="17">
        <v>1</v>
      </c>
      <c r="G32" s="16" t="s">
        <v>32</v>
      </c>
      <c r="H32" s="15" t="str">
        <f t="shared" si="0"/>
        <v>D</v>
      </c>
    </row>
    <row r="33" spans="1:10" ht="14.25" customHeight="1" x14ac:dyDescent="0.35">
      <c r="A33" s="15">
        <v>25</v>
      </c>
      <c r="B33" s="15" t="s">
        <v>35</v>
      </c>
      <c r="C33" s="15" t="s">
        <v>36</v>
      </c>
      <c r="D33" s="16" t="s">
        <v>37</v>
      </c>
      <c r="E33" s="17">
        <v>4</v>
      </c>
      <c r="F33" s="17">
        <v>0</v>
      </c>
      <c r="G33" s="16" t="s">
        <v>38</v>
      </c>
      <c r="H33" s="15" t="str">
        <f t="shared" si="0"/>
        <v>H</v>
      </c>
      <c r="J33" s="14">
        <v>1</v>
      </c>
    </row>
    <row r="34" spans="1:10" ht="14.25" customHeight="1" x14ac:dyDescent="0.35">
      <c r="A34" s="15">
        <v>26</v>
      </c>
      <c r="B34" s="15" t="s">
        <v>35</v>
      </c>
      <c r="C34" s="15" t="s">
        <v>36</v>
      </c>
      <c r="D34" s="16" t="s">
        <v>39</v>
      </c>
      <c r="E34" s="17">
        <v>1</v>
      </c>
      <c r="F34" s="17">
        <v>1</v>
      </c>
      <c r="G34" s="16" t="s">
        <v>40</v>
      </c>
      <c r="H34" s="15" t="str">
        <f t="shared" si="0"/>
        <v>D</v>
      </c>
      <c r="J34" s="14">
        <v>0</v>
      </c>
    </row>
    <row r="35" spans="1:10" ht="14.25" customHeight="1" x14ac:dyDescent="0.35">
      <c r="A35" s="15">
        <v>27</v>
      </c>
      <c r="B35" s="15" t="s">
        <v>41</v>
      </c>
      <c r="C35" s="15" t="s">
        <v>36</v>
      </c>
      <c r="D35" s="16" t="s">
        <v>37</v>
      </c>
      <c r="E35" s="17">
        <v>4</v>
      </c>
      <c r="F35" s="17">
        <v>0</v>
      </c>
      <c r="G35" s="16" t="s">
        <v>39</v>
      </c>
      <c r="H35" s="15" t="str">
        <f t="shared" si="0"/>
        <v>H</v>
      </c>
    </row>
    <row r="36" spans="1:10" ht="14.25" customHeight="1" x14ac:dyDescent="0.35">
      <c r="A36" s="15">
        <v>28</v>
      </c>
      <c r="B36" s="15" t="s">
        <v>41</v>
      </c>
      <c r="C36" s="15" t="s">
        <v>36</v>
      </c>
      <c r="D36" s="16" t="s">
        <v>40</v>
      </c>
      <c r="E36" s="17">
        <v>2</v>
      </c>
      <c r="F36" s="17">
        <v>1</v>
      </c>
      <c r="G36" s="16" t="s">
        <v>38</v>
      </c>
      <c r="H36" s="15" t="str">
        <f t="shared" si="0"/>
        <v>H</v>
      </c>
    </row>
    <row r="37" spans="1:10" ht="14.25" customHeight="1" x14ac:dyDescent="0.35">
      <c r="A37" s="15">
        <v>29</v>
      </c>
      <c r="B37" s="15" t="s">
        <v>34</v>
      </c>
      <c r="C37" s="15" t="s">
        <v>36</v>
      </c>
      <c r="D37" s="16" t="s">
        <v>40</v>
      </c>
      <c r="E37" s="17">
        <v>0</v>
      </c>
      <c r="F37" s="17">
        <v>4</v>
      </c>
      <c r="G37" s="16" t="s">
        <v>37</v>
      </c>
      <c r="H37" s="15" t="str">
        <f t="shared" si="0"/>
        <v>A</v>
      </c>
    </row>
    <row r="38" spans="1:10" ht="14.25" customHeight="1" x14ac:dyDescent="0.35">
      <c r="A38" s="15">
        <v>30</v>
      </c>
      <c r="B38" s="15" t="s">
        <v>34</v>
      </c>
      <c r="C38" s="15" t="s">
        <v>36</v>
      </c>
      <c r="D38" s="16" t="s">
        <v>38</v>
      </c>
      <c r="E38" s="17">
        <v>1</v>
      </c>
      <c r="F38" s="17">
        <v>2</v>
      </c>
      <c r="G38" s="16" t="s">
        <v>39</v>
      </c>
      <c r="H38" s="15" t="str">
        <f t="shared" si="0"/>
        <v>A</v>
      </c>
    </row>
    <row r="39" spans="1:10" ht="14.25" customHeight="1" x14ac:dyDescent="0.35">
      <c r="A39" s="15">
        <v>31</v>
      </c>
      <c r="B39" s="15" t="s">
        <v>35</v>
      </c>
      <c r="C39" s="15" t="s">
        <v>42</v>
      </c>
      <c r="D39" s="16" t="s">
        <v>43</v>
      </c>
      <c r="E39" s="17">
        <v>2</v>
      </c>
      <c r="F39" s="17">
        <v>1</v>
      </c>
      <c r="G39" s="16" t="s">
        <v>44</v>
      </c>
      <c r="H39" s="15" t="str">
        <f t="shared" si="0"/>
        <v>H</v>
      </c>
      <c r="J39" s="14">
        <v>0</v>
      </c>
    </row>
    <row r="40" spans="1:10" ht="14.25" customHeight="1" x14ac:dyDescent="0.35">
      <c r="A40" s="15">
        <v>32</v>
      </c>
      <c r="B40" s="15" t="s">
        <v>35</v>
      </c>
      <c r="C40" s="15" t="s">
        <v>42</v>
      </c>
      <c r="D40" s="16" t="s">
        <v>45</v>
      </c>
      <c r="E40" s="17">
        <v>1</v>
      </c>
      <c r="F40" s="17">
        <v>1</v>
      </c>
      <c r="G40" s="16" t="s">
        <v>46</v>
      </c>
      <c r="H40" s="15" t="str">
        <f t="shared" si="0"/>
        <v>D</v>
      </c>
      <c r="J40" s="14">
        <v>0</v>
      </c>
    </row>
    <row r="41" spans="1:10" ht="14.25" customHeight="1" x14ac:dyDescent="0.35">
      <c r="A41" s="15">
        <v>33</v>
      </c>
      <c r="B41" s="15" t="s">
        <v>41</v>
      </c>
      <c r="C41" s="15" t="s">
        <v>42</v>
      </c>
      <c r="D41" s="16" t="s">
        <v>43</v>
      </c>
      <c r="E41" s="17">
        <v>2</v>
      </c>
      <c r="F41" s="17">
        <v>0</v>
      </c>
      <c r="G41" s="16" t="s">
        <v>45</v>
      </c>
      <c r="H41" s="15" t="str">
        <f t="shared" ref="H41:H72" si="1">IF(AND(E41&lt;&gt;"",F41&lt;&gt;""),IF(E41&gt;F41,"H",IF(E41&lt;F41,"A","D")),"")</f>
        <v>H</v>
      </c>
    </row>
    <row r="42" spans="1:10" ht="14.25" customHeight="1" x14ac:dyDescent="0.35">
      <c r="A42" s="15">
        <v>34</v>
      </c>
      <c r="B42" s="15" t="s">
        <v>41</v>
      </c>
      <c r="C42" s="15" t="s">
        <v>42</v>
      </c>
      <c r="D42" s="16" t="s">
        <v>46</v>
      </c>
      <c r="E42" s="17">
        <v>1</v>
      </c>
      <c r="F42" s="17">
        <v>2</v>
      </c>
      <c r="G42" s="16" t="s">
        <v>44</v>
      </c>
      <c r="H42" s="15" t="str">
        <f t="shared" si="1"/>
        <v>A</v>
      </c>
    </row>
    <row r="43" spans="1:10" ht="14.25" customHeight="1" x14ac:dyDescent="0.35">
      <c r="A43" s="15">
        <v>35</v>
      </c>
      <c r="B43" s="15" t="s">
        <v>34</v>
      </c>
      <c r="C43" s="15" t="s">
        <v>42</v>
      </c>
      <c r="D43" s="16" t="s">
        <v>44</v>
      </c>
      <c r="E43" s="17">
        <v>2</v>
      </c>
      <c r="F43" s="17">
        <v>1</v>
      </c>
      <c r="G43" s="16" t="s">
        <v>45</v>
      </c>
      <c r="H43" s="15" t="str">
        <f t="shared" si="1"/>
        <v>H</v>
      </c>
    </row>
    <row r="44" spans="1:10" ht="14.25" customHeight="1" x14ac:dyDescent="0.35">
      <c r="A44" s="15">
        <v>36</v>
      </c>
      <c r="B44" s="15" t="s">
        <v>34</v>
      </c>
      <c r="C44" s="15" t="s">
        <v>42</v>
      </c>
      <c r="D44" s="16" t="s">
        <v>46</v>
      </c>
      <c r="E44" s="17">
        <v>0</v>
      </c>
      <c r="F44" s="17">
        <v>2</v>
      </c>
      <c r="G44" s="16" t="s">
        <v>43</v>
      </c>
      <c r="H44" s="15" t="str">
        <f t="shared" si="1"/>
        <v>A</v>
      </c>
    </row>
    <row r="45" spans="1:10" ht="14.25" customHeight="1" x14ac:dyDescent="0.35">
      <c r="A45" s="15">
        <v>37</v>
      </c>
      <c r="B45" s="15" t="s">
        <v>47</v>
      </c>
      <c r="C45" s="15" t="s">
        <v>48</v>
      </c>
      <c r="D45" s="16" t="s">
        <v>49</v>
      </c>
      <c r="E45" s="17">
        <v>2</v>
      </c>
      <c r="F45" s="17">
        <v>0</v>
      </c>
      <c r="G45" s="16" t="s">
        <v>50</v>
      </c>
      <c r="H45" s="15" t="str">
        <f t="shared" si="1"/>
        <v>H</v>
      </c>
      <c r="J45" s="14">
        <v>0</v>
      </c>
    </row>
    <row r="46" spans="1:10" ht="14.25" customHeight="1" x14ac:dyDescent="0.35">
      <c r="A46" s="15">
        <v>38</v>
      </c>
      <c r="B46" s="15" t="s">
        <v>47</v>
      </c>
      <c r="C46" s="15" t="s">
        <v>48</v>
      </c>
      <c r="D46" s="16" t="s">
        <v>51</v>
      </c>
      <c r="E46" s="17">
        <v>2</v>
      </c>
      <c r="F46" s="17">
        <v>1</v>
      </c>
      <c r="G46" s="16" t="s">
        <v>52</v>
      </c>
      <c r="H46" s="15" t="str">
        <f t="shared" si="1"/>
        <v>H</v>
      </c>
      <c r="J46" s="14">
        <v>0</v>
      </c>
    </row>
    <row r="47" spans="1:10" ht="14.25" customHeight="1" x14ac:dyDescent="0.35">
      <c r="A47" s="15">
        <v>39</v>
      </c>
      <c r="B47" s="15" t="s">
        <v>53</v>
      </c>
      <c r="C47" s="15" t="s">
        <v>48</v>
      </c>
      <c r="D47" s="16" t="s">
        <v>49</v>
      </c>
      <c r="E47" s="17">
        <v>2</v>
      </c>
      <c r="F47" s="17">
        <v>0</v>
      </c>
      <c r="G47" s="16" t="s">
        <v>51</v>
      </c>
      <c r="H47" s="15" t="str">
        <f t="shared" si="1"/>
        <v>H</v>
      </c>
    </row>
    <row r="48" spans="1:10" ht="14.25" customHeight="1" x14ac:dyDescent="0.35">
      <c r="A48" s="15">
        <v>40</v>
      </c>
      <c r="B48" s="15" t="s">
        <v>53</v>
      </c>
      <c r="C48" s="15" t="s">
        <v>48</v>
      </c>
      <c r="D48" s="16" t="s">
        <v>52</v>
      </c>
      <c r="E48" s="17">
        <v>1</v>
      </c>
      <c r="F48" s="17">
        <v>2</v>
      </c>
      <c r="G48" s="16" t="s">
        <v>50</v>
      </c>
      <c r="H48" s="15" t="str">
        <f t="shared" si="1"/>
        <v>A</v>
      </c>
    </row>
    <row r="49" spans="1:10" ht="14.25" customHeight="1" x14ac:dyDescent="0.35">
      <c r="A49" s="15">
        <v>41</v>
      </c>
      <c r="B49" s="15" t="s">
        <v>54</v>
      </c>
      <c r="C49" s="15" t="s">
        <v>48</v>
      </c>
      <c r="D49" s="16" t="s">
        <v>50</v>
      </c>
      <c r="E49" s="17">
        <v>2</v>
      </c>
      <c r="F49" s="17">
        <v>1</v>
      </c>
      <c r="G49" s="16" t="s">
        <v>51</v>
      </c>
      <c r="H49" s="15" t="str">
        <f t="shared" si="1"/>
        <v>H</v>
      </c>
    </row>
    <row r="50" spans="1:10" ht="14.25" customHeight="1" x14ac:dyDescent="0.35">
      <c r="A50" s="15">
        <v>42</v>
      </c>
      <c r="B50" s="15" t="s">
        <v>54</v>
      </c>
      <c r="C50" s="15" t="s">
        <v>48</v>
      </c>
      <c r="D50" s="16" t="s">
        <v>52</v>
      </c>
      <c r="E50" s="17">
        <v>0</v>
      </c>
      <c r="F50" s="17">
        <v>3</v>
      </c>
      <c r="G50" s="16" t="s">
        <v>49</v>
      </c>
      <c r="H50" s="15" t="str">
        <f t="shared" si="1"/>
        <v>A</v>
      </c>
    </row>
    <row r="51" spans="1:10" ht="14.25" customHeight="1" x14ac:dyDescent="0.35">
      <c r="A51" s="15">
        <v>43</v>
      </c>
      <c r="B51" s="15" t="s">
        <v>47</v>
      </c>
      <c r="C51" s="15" t="s">
        <v>55</v>
      </c>
      <c r="D51" s="16" t="s">
        <v>56</v>
      </c>
      <c r="E51" s="17">
        <v>4</v>
      </c>
      <c r="F51" s="17">
        <v>0</v>
      </c>
      <c r="G51" s="16" t="s">
        <v>57</v>
      </c>
      <c r="H51" s="15" t="str">
        <f t="shared" si="1"/>
        <v>H</v>
      </c>
      <c r="J51" s="14">
        <v>0</v>
      </c>
    </row>
    <row r="52" spans="1:10" ht="14.25" customHeight="1" x14ac:dyDescent="0.35">
      <c r="A52" s="15">
        <v>44</v>
      </c>
      <c r="B52" s="15" t="s">
        <v>47</v>
      </c>
      <c r="C52" s="15" t="s">
        <v>55</v>
      </c>
      <c r="D52" s="16" t="s">
        <v>58</v>
      </c>
      <c r="E52" s="17">
        <v>0</v>
      </c>
      <c r="F52" s="17">
        <v>2</v>
      </c>
      <c r="G52" s="16" t="s">
        <v>59</v>
      </c>
      <c r="H52" s="15" t="str">
        <f t="shared" si="1"/>
        <v>A</v>
      </c>
      <c r="J52" s="14">
        <v>0</v>
      </c>
    </row>
    <row r="53" spans="1:10" ht="14.25" customHeight="1" x14ac:dyDescent="0.35">
      <c r="A53" s="15">
        <v>45</v>
      </c>
      <c r="B53" s="15" t="s">
        <v>53</v>
      </c>
      <c r="C53" s="15" t="s">
        <v>55</v>
      </c>
      <c r="D53" s="16" t="s">
        <v>56</v>
      </c>
      <c r="E53" s="17">
        <v>2</v>
      </c>
      <c r="F53" s="17">
        <v>0</v>
      </c>
      <c r="G53" s="16" t="s">
        <v>58</v>
      </c>
      <c r="H53" s="15" t="str">
        <f t="shared" si="1"/>
        <v>H</v>
      </c>
    </row>
    <row r="54" spans="1:10" ht="14.25" customHeight="1" x14ac:dyDescent="0.35">
      <c r="A54" s="15">
        <v>46</v>
      </c>
      <c r="B54" s="15" t="s">
        <v>53</v>
      </c>
      <c r="C54" s="15" t="s">
        <v>55</v>
      </c>
      <c r="D54" s="16" t="s">
        <v>59</v>
      </c>
      <c r="E54" s="17">
        <v>3</v>
      </c>
      <c r="F54" s="17">
        <v>0</v>
      </c>
      <c r="G54" s="16" t="s">
        <v>57</v>
      </c>
      <c r="H54" s="15" t="str">
        <f t="shared" si="1"/>
        <v>H</v>
      </c>
    </row>
    <row r="55" spans="1:10" ht="14.25" customHeight="1" x14ac:dyDescent="0.35">
      <c r="A55" s="15">
        <v>47</v>
      </c>
      <c r="B55" s="15" t="s">
        <v>54</v>
      </c>
      <c r="C55" s="15" t="s">
        <v>55</v>
      </c>
      <c r="D55" s="16" t="s">
        <v>57</v>
      </c>
      <c r="E55" s="17">
        <v>0</v>
      </c>
      <c r="F55" s="17">
        <v>1</v>
      </c>
      <c r="G55" s="16" t="s">
        <v>58</v>
      </c>
      <c r="H55" s="15" t="str">
        <f t="shared" si="1"/>
        <v>A</v>
      </c>
    </row>
    <row r="56" spans="1:10" ht="14.25" customHeight="1" x14ac:dyDescent="0.35">
      <c r="A56" s="15">
        <v>48</v>
      </c>
      <c r="B56" s="15" t="s">
        <v>54</v>
      </c>
      <c r="C56" s="15" t="s">
        <v>55</v>
      </c>
      <c r="D56" s="16" t="s">
        <v>59</v>
      </c>
      <c r="E56" s="17">
        <v>1</v>
      </c>
      <c r="F56" s="17">
        <v>2</v>
      </c>
      <c r="G56" s="16" t="s">
        <v>56</v>
      </c>
      <c r="H56" s="15" t="str">
        <f t="shared" si="1"/>
        <v>A</v>
      </c>
    </row>
    <row r="57" spans="1:10" ht="14.25" customHeight="1" x14ac:dyDescent="0.35">
      <c r="A57" s="15">
        <v>49</v>
      </c>
      <c r="B57" s="15" t="s">
        <v>60</v>
      </c>
      <c r="C57" s="15" t="s">
        <v>61</v>
      </c>
      <c r="D57" s="16" t="s">
        <v>62</v>
      </c>
      <c r="E57" s="17">
        <v>2</v>
      </c>
      <c r="F57" s="17">
        <v>0</v>
      </c>
      <c r="G57" s="16" t="s">
        <v>63</v>
      </c>
      <c r="H57" s="15" t="str">
        <f t="shared" si="1"/>
        <v>H</v>
      </c>
      <c r="J57" s="14">
        <v>1</v>
      </c>
    </row>
    <row r="58" spans="1:10" ht="14.25" customHeight="1" x14ac:dyDescent="0.35">
      <c r="A58" s="15">
        <v>50</v>
      </c>
      <c r="B58" s="15" t="s">
        <v>60</v>
      </c>
      <c r="C58" s="15" t="s">
        <v>61</v>
      </c>
      <c r="D58" s="16" t="s">
        <v>64</v>
      </c>
      <c r="E58" s="17">
        <v>0</v>
      </c>
      <c r="F58" s="17">
        <v>2</v>
      </c>
      <c r="G58" s="16" t="s">
        <v>65</v>
      </c>
      <c r="H58" s="15" t="str">
        <f t="shared" si="1"/>
        <v>A</v>
      </c>
      <c r="J58" s="14">
        <v>1</v>
      </c>
    </row>
    <row r="59" spans="1:10" ht="14.25" customHeight="1" x14ac:dyDescent="0.35">
      <c r="A59" s="15">
        <v>51</v>
      </c>
      <c r="B59" s="15" t="s">
        <v>66</v>
      </c>
      <c r="C59" s="15" t="s">
        <v>61</v>
      </c>
      <c r="D59" s="16" t="s">
        <v>62</v>
      </c>
      <c r="E59" s="17">
        <v>4</v>
      </c>
      <c r="F59" s="17">
        <v>0</v>
      </c>
      <c r="G59" s="16" t="s">
        <v>64</v>
      </c>
      <c r="H59" s="15" t="str">
        <f t="shared" si="1"/>
        <v>H</v>
      </c>
    </row>
    <row r="60" spans="1:10" ht="14.25" customHeight="1" x14ac:dyDescent="0.35">
      <c r="A60" s="15">
        <v>52</v>
      </c>
      <c r="B60" s="15" t="s">
        <v>66</v>
      </c>
      <c r="C60" s="15" t="s">
        <v>61</v>
      </c>
      <c r="D60" s="16" t="s">
        <v>65</v>
      </c>
      <c r="E60" s="17">
        <v>2</v>
      </c>
      <c r="F60" s="17">
        <v>1</v>
      </c>
      <c r="G60" s="16" t="s">
        <v>63</v>
      </c>
      <c r="H60" s="15" t="str">
        <f t="shared" si="1"/>
        <v>H</v>
      </c>
    </row>
    <row r="61" spans="1:10" ht="14.25" customHeight="1" x14ac:dyDescent="0.35">
      <c r="A61" s="15">
        <v>53</v>
      </c>
      <c r="B61" s="15" t="s">
        <v>54</v>
      </c>
      <c r="C61" s="15" t="s">
        <v>61</v>
      </c>
      <c r="D61" s="16" t="s">
        <v>65</v>
      </c>
      <c r="E61" s="17">
        <v>0</v>
      </c>
      <c r="F61" s="17">
        <v>2</v>
      </c>
      <c r="G61" s="16" t="s">
        <v>62</v>
      </c>
      <c r="H61" s="15" t="str">
        <f t="shared" si="1"/>
        <v>A</v>
      </c>
    </row>
    <row r="62" spans="1:10" ht="14.25" customHeight="1" x14ac:dyDescent="0.35">
      <c r="A62" s="15">
        <v>54</v>
      </c>
      <c r="B62" s="15" t="s">
        <v>54</v>
      </c>
      <c r="C62" s="15" t="s">
        <v>61</v>
      </c>
      <c r="D62" s="16" t="s">
        <v>63</v>
      </c>
      <c r="E62" s="17">
        <v>2</v>
      </c>
      <c r="F62" s="17">
        <v>0</v>
      </c>
      <c r="G62" s="16" t="s">
        <v>64</v>
      </c>
      <c r="H62" s="15" t="str">
        <f t="shared" si="1"/>
        <v>H</v>
      </c>
    </row>
    <row r="63" spans="1:10" ht="14.25" customHeight="1" x14ac:dyDescent="0.35">
      <c r="A63" s="15">
        <v>55</v>
      </c>
      <c r="B63" s="15" t="s">
        <v>60</v>
      </c>
      <c r="C63" s="15" t="s">
        <v>67</v>
      </c>
      <c r="D63" s="16" t="s">
        <v>68</v>
      </c>
      <c r="E63" s="17">
        <v>4</v>
      </c>
      <c r="F63" s="17">
        <v>0</v>
      </c>
      <c r="G63" s="16" t="s">
        <v>69</v>
      </c>
      <c r="H63" s="15" t="str">
        <f t="shared" si="1"/>
        <v>H</v>
      </c>
      <c r="J63" s="14">
        <v>1</v>
      </c>
    </row>
    <row r="64" spans="1:10" ht="14.25" customHeight="1" x14ac:dyDescent="0.35">
      <c r="A64" s="15">
        <v>56</v>
      </c>
      <c r="B64" s="15" t="s">
        <v>60</v>
      </c>
      <c r="C64" s="15" t="s">
        <v>67</v>
      </c>
      <c r="D64" s="16" t="s">
        <v>70</v>
      </c>
      <c r="E64" s="17">
        <v>2</v>
      </c>
      <c r="F64" s="17">
        <v>0</v>
      </c>
      <c r="G64" s="16" t="s">
        <v>71</v>
      </c>
      <c r="H64" s="15" t="str">
        <f t="shared" si="1"/>
        <v>H</v>
      </c>
      <c r="J64" s="14">
        <v>1</v>
      </c>
    </row>
    <row r="65" spans="1:10" ht="14.25" customHeight="1" x14ac:dyDescent="0.35">
      <c r="A65" s="15">
        <v>57</v>
      </c>
      <c r="B65" s="15" t="s">
        <v>66</v>
      </c>
      <c r="C65" s="15" t="s">
        <v>67</v>
      </c>
      <c r="D65" s="16" t="s">
        <v>68</v>
      </c>
      <c r="E65" s="17">
        <v>2</v>
      </c>
      <c r="F65" s="17">
        <v>0</v>
      </c>
      <c r="G65" s="16" t="s">
        <v>70</v>
      </c>
      <c r="H65" s="15" t="str">
        <f t="shared" si="1"/>
        <v>H</v>
      </c>
    </row>
    <row r="66" spans="1:10" ht="14.25" customHeight="1" x14ac:dyDescent="0.35">
      <c r="A66" s="15">
        <v>58</v>
      </c>
      <c r="B66" s="15" t="s">
        <v>66</v>
      </c>
      <c r="C66" s="15" t="s">
        <v>67</v>
      </c>
      <c r="D66" s="16" t="s">
        <v>71</v>
      </c>
      <c r="E66" s="17">
        <v>1</v>
      </c>
      <c r="F66" s="17">
        <v>2</v>
      </c>
      <c r="G66" s="16" t="s">
        <v>69</v>
      </c>
      <c r="H66" s="15" t="str">
        <f t="shared" si="1"/>
        <v>A</v>
      </c>
    </row>
    <row r="67" spans="1:10" ht="14.25" customHeight="1" x14ac:dyDescent="0.35">
      <c r="A67" s="15">
        <v>59</v>
      </c>
      <c r="B67" s="15" t="s">
        <v>72</v>
      </c>
      <c r="C67" s="15" t="s">
        <v>67</v>
      </c>
      <c r="D67" s="16" t="s">
        <v>69</v>
      </c>
      <c r="E67" s="17">
        <v>1</v>
      </c>
      <c r="F67" s="17">
        <v>2</v>
      </c>
      <c r="G67" s="16" t="s">
        <v>70</v>
      </c>
      <c r="H67" s="15" t="str">
        <f t="shared" si="1"/>
        <v>A</v>
      </c>
    </row>
    <row r="68" spans="1:10" ht="14.25" customHeight="1" x14ac:dyDescent="0.35">
      <c r="A68" s="15">
        <v>60</v>
      </c>
      <c r="B68" s="15" t="s">
        <v>72</v>
      </c>
      <c r="C68" s="15" t="s">
        <v>67</v>
      </c>
      <c r="D68" s="16" t="s">
        <v>71</v>
      </c>
      <c r="E68" s="17">
        <v>0</v>
      </c>
      <c r="F68" s="17">
        <v>4</v>
      </c>
      <c r="G68" s="16" t="s">
        <v>68</v>
      </c>
      <c r="H68" s="15" t="str">
        <f t="shared" si="1"/>
        <v>A</v>
      </c>
    </row>
    <row r="69" spans="1:10" ht="14.25" customHeight="1" x14ac:dyDescent="0.35">
      <c r="A69" s="15">
        <v>61</v>
      </c>
      <c r="B69" s="15" t="s">
        <v>73</v>
      </c>
      <c r="C69" s="15" t="s">
        <v>74</v>
      </c>
      <c r="D69" s="16" t="s">
        <v>75</v>
      </c>
      <c r="E69" s="17">
        <v>2</v>
      </c>
      <c r="F69" s="17">
        <v>0</v>
      </c>
      <c r="G69" s="16" t="s">
        <v>76</v>
      </c>
      <c r="H69" s="15" t="str">
        <f t="shared" si="1"/>
        <v>H</v>
      </c>
      <c r="J69" s="14">
        <v>0</v>
      </c>
    </row>
    <row r="70" spans="1:10" ht="14.25" customHeight="1" x14ac:dyDescent="0.35">
      <c r="A70" s="15">
        <v>62</v>
      </c>
      <c r="B70" s="15" t="s">
        <v>73</v>
      </c>
      <c r="C70" s="15" t="s">
        <v>74</v>
      </c>
      <c r="D70" s="16" t="s">
        <v>77</v>
      </c>
      <c r="E70" s="17">
        <v>1</v>
      </c>
      <c r="F70" s="17">
        <v>2</v>
      </c>
      <c r="G70" s="16" t="s">
        <v>78</v>
      </c>
      <c r="H70" s="15" t="str">
        <f t="shared" si="1"/>
        <v>A</v>
      </c>
      <c r="J70" s="14">
        <v>1</v>
      </c>
    </row>
    <row r="71" spans="1:10" ht="14.25" customHeight="1" x14ac:dyDescent="0.35">
      <c r="A71" s="15">
        <v>63</v>
      </c>
      <c r="B71" s="15" t="s">
        <v>79</v>
      </c>
      <c r="C71" s="15" t="s">
        <v>74</v>
      </c>
      <c r="D71" s="16" t="s">
        <v>75</v>
      </c>
      <c r="E71" s="17">
        <v>2</v>
      </c>
      <c r="F71" s="17">
        <v>0</v>
      </c>
      <c r="G71" s="16" t="s">
        <v>77</v>
      </c>
      <c r="H71" s="15" t="str">
        <f t="shared" si="1"/>
        <v>H</v>
      </c>
    </row>
    <row r="72" spans="1:10" ht="14.25" customHeight="1" x14ac:dyDescent="0.35">
      <c r="A72" s="15">
        <v>64</v>
      </c>
      <c r="B72" s="15" t="s">
        <v>79</v>
      </c>
      <c r="C72" s="15" t="s">
        <v>74</v>
      </c>
      <c r="D72" s="16" t="s">
        <v>78</v>
      </c>
      <c r="E72" s="17">
        <v>2</v>
      </c>
      <c r="F72" s="17">
        <v>1</v>
      </c>
      <c r="G72" s="16" t="s">
        <v>76</v>
      </c>
      <c r="H72" s="15" t="str">
        <f t="shared" si="1"/>
        <v>H</v>
      </c>
    </row>
    <row r="73" spans="1:10" ht="14.25" customHeight="1" x14ac:dyDescent="0.35">
      <c r="A73" s="15">
        <v>65</v>
      </c>
      <c r="B73" s="15" t="s">
        <v>72</v>
      </c>
      <c r="C73" s="15" t="s">
        <v>74</v>
      </c>
      <c r="D73" s="16" t="s">
        <v>78</v>
      </c>
      <c r="E73" s="17">
        <v>1</v>
      </c>
      <c r="F73" s="17">
        <v>2</v>
      </c>
      <c r="G73" s="16" t="s">
        <v>75</v>
      </c>
      <c r="H73" s="15" t="str">
        <f t="shared" ref="H73:H80" si="2">IF(AND(E73&lt;&gt;"",F73&lt;&gt;""),IF(E73&gt;F73,"H",IF(E73&lt;F73,"A","D")),"")</f>
        <v>A</v>
      </c>
    </row>
    <row r="74" spans="1:10" ht="14.25" customHeight="1" x14ac:dyDescent="0.35">
      <c r="A74" s="15">
        <v>66</v>
      </c>
      <c r="B74" s="15" t="s">
        <v>72</v>
      </c>
      <c r="C74" s="15" t="s">
        <v>74</v>
      </c>
      <c r="D74" s="16" t="s">
        <v>76</v>
      </c>
      <c r="E74" s="17">
        <v>2</v>
      </c>
      <c r="F74" s="17">
        <v>1</v>
      </c>
      <c r="G74" s="16" t="s">
        <v>77</v>
      </c>
      <c r="H74" s="15" t="str">
        <f t="shared" si="2"/>
        <v>H</v>
      </c>
    </row>
    <row r="75" spans="1:10" ht="14.25" customHeight="1" x14ac:dyDescent="0.35">
      <c r="A75" s="15">
        <v>67</v>
      </c>
      <c r="B75" s="15" t="s">
        <v>73</v>
      </c>
      <c r="C75" s="15" t="s">
        <v>80</v>
      </c>
      <c r="D75" s="16" t="s">
        <v>81</v>
      </c>
      <c r="E75" s="17">
        <v>2</v>
      </c>
      <c r="F75" s="17">
        <v>1</v>
      </c>
      <c r="G75" s="16" t="s">
        <v>82</v>
      </c>
      <c r="H75" s="15" t="str">
        <f t="shared" si="2"/>
        <v>H</v>
      </c>
      <c r="J75" s="14">
        <v>1</v>
      </c>
    </row>
    <row r="76" spans="1:10" ht="14.25" customHeight="1" x14ac:dyDescent="0.35">
      <c r="A76" s="15">
        <v>68</v>
      </c>
      <c r="B76" s="15" t="s">
        <v>73</v>
      </c>
      <c r="C76" s="15" t="s">
        <v>80</v>
      </c>
      <c r="D76" s="16" t="s">
        <v>83</v>
      </c>
      <c r="E76" s="17">
        <v>2</v>
      </c>
      <c r="F76" s="17">
        <v>1</v>
      </c>
      <c r="G76" s="16" t="s">
        <v>84</v>
      </c>
      <c r="H76" s="15" t="str">
        <f t="shared" si="2"/>
        <v>H</v>
      </c>
      <c r="J76" s="14">
        <v>1</v>
      </c>
    </row>
    <row r="77" spans="1:10" ht="14.25" customHeight="1" x14ac:dyDescent="0.35">
      <c r="A77" s="15">
        <v>69</v>
      </c>
      <c r="B77" s="15" t="s">
        <v>79</v>
      </c>
      <c r="C77" s="15" t="s">
        <v>80</v>
      </c>
      <c r="D77" s="16" t="s">
        <v>81</v>
      </c>
      <c r="E77" s="17">
        <v>2</v>
      </c>
      <c r="F77" s="17">
        <v>0</v>
      </c>
      <c r="G77" s="16" t="s">
        <v>83</v>
      </c>
      <c r="H77" s="15" t="str">
        <f t="shared" si="2"/>
        <v>H</v>
      </c>
    </row>
    <row r="78" spans="1:10" ht="14.25" customHeight="1" x14ac:dyDescent="0.35">
      <c r="A78" s="15">
        <v>70</v>
      </c>
      <c r="B78" s="15" t="s">
        <v>79</v>
      </c>
      <c r="C78" s="15" t="s">
        <v>80</v>
      </c>
      <c r="D78" s="16" t="s">
        <v>84</v>
      </c>
      <c r="E78" s="17">
        <v>1</v>
      </c>
      <c r="F78" s="17">
        <v>2</v>
      </c>
      <c r="G78" s="16" t="s">
        <v>82</v>
      </c>
      <c r="H78" s="15" t="str">
        <f t="shared" si="2"/>
        <v>A</v>
      </c>
    </row>
    <row r="79" spans="1:10" ht="14.25" customHeight="1" x14ac:dyDescent="0.35">
      <c r="A79" s="15">
        <v>71</v>
      </c>
      <c r="B79" s="15" t="s">
        <v>72</v>
      </c>
      <c r="C79" s="15" t="s">
        <v>80</v>
      </c>
      <c r="D79" s="16" t="s">
        <v>84</v>
      </c>
      <c r="E79" s="17">
        <v>0</v>
      </c>
      <c r="F79" s="17">
        <v>2</v>
      </c>
      <c r="G79" s="16" t="s">
        <v>81</v>
      </c>
      <c r="H79" s="15" t="str">
        <f t="shared" si="2"/>
        <v>A</v>
      </c>
    </row>
    <row r="80" spans="1:10" ht="14.25" customHeight="1" x14ac:dyDescent="0.35">
      <c r="A80" s="15">
        <v>72</v>
      </c>
      <c r="B80" s="15" t="s">
        <v>72</v>
      </c>
      <c r="C80" s="15" t="s">
        <v>80</v>
      </c>
      <c r="D80" s="16" t="s">
        <v>82</v>
      </c>
      <c r="E80" s="17">
        <v>2</v>
      </c>
      <c r="F80" s="17">
        <v>1</v>
      </c>
      <c r="G80" s="16" t="s">
        <v>83</v>
      </c>
      <c r="H80" s="15" t="str">
        <f t="shared" si="2"/>
        <v>H</v>
      </c>
      <c r="J80" s="56"/>
    </row>
    <row r="82" spans="10:10" x14ac:dyDescent="0.35">
      <c r="J82" s="14">
        <f>SUM(J8:J80)</f>
        <v>16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83C1-D95F-4615-BAEE-BDC05EA6419E}">
  <sheetPr codeName="Blad4">
    <tabColor rgb="FF93CDDD"/>
  </sheetPr>
  <dimension ref="A5:Q42"/>
  <sheetViews>
    <sheetView topLeftCell="A7" zoomScaleNormal="100" workbookViewId="0">
      <selection activeCell="H23" sqref="H23"/>
    </sheetView>
  </sheetViews>
  <sheetFormatPr defaultColWidth="8.7265625" defaultRowHeight="14.5" x14ac:dyDescent="0.35"/>
  <cols>
    <col min="1" max="1" width="3.26953125" style="14" customWidth="1"/>
    <col min="2" max="2" width="20.6328125" style="14" customWidth="1"/>
    <col min="3" max="3" width="1.7265625" style="14" customWidth="1"/>
    <col min="4" max="4" width="3.26953125" style="14" customWidth="1"/>
    <col min="5" max="5" width="20.6328125" style="14" customWidth="1"/>
    <col min="6" max="6" width="1.7265625" style="14" customWidth="1"/>
    <col min="7" max="7" width="3.26953125" style="14" customWidth="1"/>
    <col min="8" max="8" width="20.6328125" style="14" customWidth="1"/>
    <col min="9" max="9" width="1.7265625" style="14" customWidth="1"/>
    <col min="10" max="10" width="3.26953125" style="14" customWidth="1"/>
    <col min="11" max="11" width="20.6328125" style="14" customWidth="1"/>
    <col min="12" max="12" width="1.7265625" style="14" customWidth="1"/>
    <col min="13" max="13" width="3.26953125" style="14" customWidth="1"/>
    <col min="14" max="14" width="20.6328125" style="14" customWidth="1"/>
    <col min="15" max="15" width="1.7265625" style="14" customWidth="1"/>
    <col min="16" max="16" width="3.26953125" style="14" customWidth="1"/>
    <col min="17" max="17" width="20.6328125" style="14" customWidth="1"/>
    <col min="18" max="16384" width="8.7265625" style="14"/>
  </cols>
  <sheetData>
    <row r="5" spans="1:17" ht="14.25" customHeight="1" x14ac:dyDescent="0.35">
      <c r="P5" s="24"/>
    </row>
    <row r="8" spans="1:17" s="23" customFormat="1" ht="15" customHeight="1" x14ac:dyDescent="0.35">
      <c r="A8" s="62" t="s">
        <v>85</v>
      </c>
      <c r="B8" s="62"/>
      <c r="D8" s="62" t="s">
        <v>86</v>
      </c>
      <c r="E8" s="62"/>
      <c r="G8" s="62" t="s">
        <v>87</v>
      </c>
      <c r="H8" s="62"/>
      <c r="J8" s="62" t="s">
        <v>88</v>
      </c>
      <c r="K8" s="62"/>
      <c r="M8" s="62" t="s">
        <v>89</v>
      </c>
      <c r="N8" s="62"/>
      <c r="P8" s="62" t="s">
        <v>90</v>
      </c>
      <c r="Q8" s="62"/>
    </row>
    <row r="9" spans="1:17" ht="14.25" customHeight="1" x14ac:dyDescent="0.35"/>
    <row r="10" spans="1:17" ht="14.25" customHeight="1" x14ac:dyDescent="0.35">
      <c r="A10" s="19">
        <v>1</v>
      </c>
      <c r="B10" s="20" t="s">
        <v>10</v>
      </c>
      <c r="D10" s="19">
        <v>1</v>
      </c>
      <c r="E10" s="20" t="s">
        <v>62</v>
      </c>
      <c r="G10" s="19">
        <v>1</v>
      </c>
      <c r="H10" s="20" t="s">
        <v>62</v>
      </c>
      <c r="J10" s="19">
        <v>1</v>
      </c>
      <c r="K10" s="20" t="s">
        <v>62</v>
      </c>
      <c r="M10" s="19">
        <v>1</v>
      </c>
      <c r="N10" s="20" t="s">
        <v>62</v>
      </c>
      <c r="P10" s="19">
        <v>1</v>
      </c>
      <c r="Q10" s="20" t="s">
        <v>62</v>
      </c>
    </row>
    <row r="11" spans="1:17" ht="14.25" customHeight="1" x14ac:dyDescent="0.35">
      <c r="A11" s="19">
        <f t="shared" ref="A11:A41" si="0">A10+1</f>
        <v>2</v>
      </c>
      <c r="B11" s="20" t="s">
        <v>12</v>
      </c>
      <c r="D11" s="19">
        <f t="shared" ref="D11:D25" si="1">D10+1</f>
        <v>2</v>
      </c>
      <c r="E11" s="20" t="s">
        <v>81</v>
      </c>
      <c r="G11" s="19">
        <f t="shared" ref="G11:G17" si="2">G10+1</f>
        <v>2</v>
      </c>
      <c r="H11" s="20" t="s">
        <v>81</v>
      </c>
      <c r="J11" s="19">
        <f>J10+1</f>
        <v>2</v>
      </c>
      <c r="K11" s="20" t="s">
        <v>56</v>
      </c>
      <c r="M11" s="19">
        <f>M10+1</f>
        <v>2</v>
      </c>
      <c r="N11" s="20" t="s">
        <v>24</v>
      </c>
    </row>
    <row r="12" spans="1:17" ht="14.25" customHeight="1" x14ac:dyDescent="0.35">
      <c r="A12" s="19">
        <f t="shared" si="0"/>
        <v>3</v>
      </c>
      <c r="B12" s="20" t="s">
        <v>18</v>
      </c>
      <c r="D12" s="19">
        <f t="shared" si="1"/>
        <v>3</v>
      </c>
      <c r="E12" s="20" t="s">
        <v>56</v>
      </c>
      <c r="G12" s="19">
        <f t="shared" si="2"/>
        <v>3</v>
      </c>
      <c r="H12" s="20" t="s">
        <v>56</v>
      </c>
      <c r="J12" s="19">
        <f>J11+1</f>
        <v>3</v>
      </c>
      <c r="K12" s="20" t="s">
        <v>24</v>
      </c>
    </row>
    <row r="13" spans="1:17" ht="14.25" customHeight="1" x14ac:dyDescent="0.35">
      <c r="A13" s="19">
        <f t="shared" si="0"/>
        <v>4</v>
      </c>
      <c r="B13" s="20" t="s">
        <v>22</v>
      </c>
      <c r="D13" s="19">
        <f t="shared" si="1"/>
        <v>4</v>
      </c>
      <c r="E13" s="20" t="s">
        <v>75</v>
      </c>
      <c r="G13" s="19">
        <f t="shared" si="2"/>
        <v>4</v>
      </c>
      <c r="H13" s="20" t="s">
        <v>75</v>
      </c>
      <c r="J13" s="19">
        <f>J12+1</f>
        <v>4</v>
      </c>
      <c r="K13" s="20" t="s">
        <v>37</v>
      </c>
    </row>
    <row r="14" spans="1:17" ht="14.25" customHeight="1" x14ac:dyDescent="0.35">
      <c r="A14" s="19">
        <f t="shared" si="0"/>
        <v>5</v>
      </c>
      <c r="B14" s="20" t="s">
        <v>24</v>
      </c>
      <c r="D14" s="19">
        <f t="shared" si="1"/>
        <v>5</v>
      </c>
      <c r="E14" s="20" t="s">
        <v>24</v>
      </c>
      <c r="G14" s="19">
        <f t="shared" si="2"/>
        <v>5</v>
      </c>
      <c r="H14" s="20" t="s">
        <v>24</v>
      </c>
    </row>
    <row r="15" spans="1:17" ht="14.25" customHeight="1" x14ac:dyDescent="0.35">
      <c r="A15" s="19">
        <f t="shared" si="0"/>
        <v>6</v>
      </c>
      <c r="B15" s="20" t="s">
        <v>25</v>
      </c>
      <c r="D15" s="19">
        <f t="shared" si="1"/>
        <v>6</v>
      </c>
      <c r="E15" s="20" t="s">
        <v>68</v>
      </c>
      <c r="G15" s="19">
        <f t="shared" si="2"/>
        <v>6</v>
      </c>
      <c r="H15" s="20" t="s">
        <v>68</v>
      </c>
    </row>
    <row r="16" spans="1:17" ht="14.25" customHeight="1" x14ac:dyDescent="0.35">
      <c r="A16" s="19">
        <f t="shared" si="0"/>
        <v>7</v>
      </c>
      <c r="B16" s="20" t="s">
        <v>30</v>
      </c>
      <c r="D16" s="19">
        <f t="shared" si="1"/>
        <v>7</v>
      </c>
      <c r="E16" s="20" t="s">
        <v>37</v>
      </c>
      <c r="G16" s="19">
        <f t="shared" si="2"/>
        <v>7</v>
      </c>
      <c r="H16" s="20" t="s">
        <v>37</v>
      </c>
    </row>
    <row r="17" spans="1:11" ht="14.25" customHeight="1" x14ac:dyDescent="0.35">
      <c r="A17" s="19">
        <f t="shared" si="0"/>
        <v>8</v>
      </c>
      <c r="B17" s="20" t="s">
        <v>135</v>
      </c>
      <c r="D17" s="19">
        <f t="shared" si="1"/>
        <v>8</v>
      </c>
      <c r="E17" s="20" t="s">
        <v>59</v>
      </c>
      <c r="G17" s="19">
        <f t="shared" si="2"/>
        <v>8</v>
      </c>
      <c r="H17" s="20" t="s">
        <v>59</v>
      </c>
    </row>
    <row r="18" spans="1:11" ht="14.25" customHeight="1" x14ac:dyDescent="0.35">
      <c r="A18" s="19">
        <f t="shared" si="0"/>
        <v>9</v>
      </c>
      <c r="B18" s="20" t="s">
        <v>37</v>
      </c>
      <c r="D18" s="19">
        <f t="shared" si="1"/>
        <v>9</v>
      </c>
      <c r="E18" s="20" t="s">
        <v>43</v>
      </c>
    </row>
    <row r="19" spans="1:11" ht="14.25" customHeight="1" x14ac:dyDescent="0.35">
      <c r="A19" s="19">
        <f t="shared" si="0"/>
        <v>10</v>
      </c>
      <c r="B19" s="20" t="s">
        <v>40</v>
      </c>
      <c r="D19" s="19">
        <f t="shared" si="1"/>
        <v>10</v>
      </c>
      <c r="E19" s="20" t="s">
        <v>30</v>
      </c>
    </row>
    <row r="20" spans="1:11" ht="14.25" customHeight="1" x14ac:dyDescent="0.35">
      <c r="A20" s="19">
        <f t="shared" si="0"/>
        <v>11</v>
      </c>
      <c r="B20" s="20" t="s">
        <v>43</v>
      </c>
      <c r="D20" s="19">
        <f t="shared" si="1"/>
        <v>11</v>
      </c>
      <c r="E20" s="20" t="s">
        <v>49</v>
      </c>
      <c r="H20" s="22" t="s">
        <v>110</v>
      </c>
    </row>
    <row r="21" spans="1:11" ht="14.25" customHeight="1" x14ac:dyDescent="0.35">
      <c r="A21" s="19">
        <f t="shared" si="0"/>
        <v>12</v>
      </c>
      <c r="B21" s="20" t="s">
        <v>44</v>
      </c>
      <c r="D21" s="19">
        <f t="shared" si="1"/>
        <v>12</v>
      </c>
      <c r="E21" s="20" t="s">
        <v>25</v>
      </c>
    </row>
    <row r="22" spans="1:11" ht="14.25" customHeight="1" x14ac:dyDescent="0.35">
      <c r="A22" s="19">
        <f t="shared" si="0"/>
        <v>13</v>
      </c>
      <c r="B22" s="20" t="s">
        <v>49</v>
      </c>
      <c r="D22" s="19">
        <f t="shared" si="1"/>
        <v>13</v>
      </c>
      <c r="E22" s="20" t="s">
        <v>10</v>
      </c>
      <c r="H22" s="14" t="s">
        <v>113</v>
      </c>
      <c r="I22" s="14" t="s">
        <v>134</v>
      </c>
      <c r="K22" s="20"/>
    </row>
    <row r="23" spans="1:11" ht="14.25" customHeight="1" x14ac:dyDescent="0.35">
      <c r="A23" s="19">
        <f t="shared" si="0"/>
        <v>14</v>
      </c>
      <c r="B23" s="20" t="s">
        <v>50</v>
      </c>
      <c r="D23" s="19">
        <f t="shared" si="1"/>
        <v>14</v>
      </c>
      <c r="E23" s="20" t="s">
        <v>78</v>
      </c>
      <c r="H23" s="14" t="s">
        <v>116</v>
      </c>
      <c r="I23" s="14" t="s">
        <v>59</v>
      </c>
      <c r="K23" s="20"/>
    </row>
    <row r="24" spans="1:11" ht="14.25" customHeight="1" x14ac:dyDescent="0.35">
      <c r="A24" s="19">
        <f t="shared" si="0"/>
        <v>15</v>
      </c>
      <c r="B24" s="20" t="s">
        <v>56</v>
      </c>
      <c r="D24" s="19">
        <f t="shared" si="1"/>
        <v>15</v>
      </c>
      <c r="E24" s="20" t="s">
        <v>44</v>
      </c>
      <c r="H24" s="14" t="s">
        <v>119</v>
      </c>
      <c r="I24" s="14" t="s">
        <v>133</v>
      </c>
      <c r="K24" s="20"/>
    </row>
    <row r="25" spans="1:11" ht="14.25" customHeight="1" x14ac:dyDescent="0.35">
      <c r="A25" s="19">
        <f t="shared" si="0"/>
        <v>16</v>
      </c>
      <c r="B25" s="20" t="s">
        <v>59</v>
      </c>
      <c r="D25" s="19">
        <f t="shared" si="1"/>
        <v>16</v>
      </c>
      <c r="E25" s="20" t="s">
        <v>82</v>
      </c>
    </row>
    <row r="26" spans="1:11" ht="14.25" customHeight="1" x14ac:dyDescent="0.35">
      <c r="A26" s="19">
        <f t="shared" si="0"/>
        <v>17</v>
      </c>
      <c r="B26" s="20" t="s">
        <v>62</v>
      </c>
      <c r="H26" s="14" t="s">
        <v>122</v>
      </c>
      <c r="I26" s="14">
        <v>274</v>
      </c>
      <c r="K26" s="21"/>
    </row>
    <row r="27" spans="1:11" ht="14.25" customHeight="1" x14ac:dyDescent="0.35">
      <c r="A27" s="19">
        <f t="shared" si="0"/>
        <v>18</v>
      </c>
      <c r="B27" s="20" t="s">
        <v>65</v>
      </c>
      <c r="H27" s="14" t="s">
        <v>124</v>
      </c>
    </row>
    <row r="28" spans="1:11" ht="14.25" customHeight="1" x14ac:dyDescent="0.35">
      <c r="A28" s="19">
        <f t="shared" si="0"/>
        <v>19</v>
      </c>
      <c r="B28" s="20" t="s">
        <v>68</v>
      </c>
    </row>
    <row r="29" spans="1:11" ht="14.25" customHeight="1" x14ac:dyDescent="0.35">
      <c r="A29" s="19">
        <f t="shared" si="0"/>
        <v>20</v>
      </c>
      <c r="B29" s="20" t="s">
        <v>70</v>
      </c>
    </row>
    <row r="30" spans="1:11" ht="14.25" customHeight="1" x14ac:dyDescent="0.35">
      <c r="A30" s="19">
        <f t="shared" si="0"/>
        <v>21</v>
      </c>
      <c r="B30" s="20" t="s">
        <v>75</v>
      </c>
    </row>
    <row r="31" spans="1:11" ht="14.25" customHeight="1" x14ac:dyDescent="0.35">
      <c r="A31" s="19">
        <f t="shared" si="0"/>
        <v>22</v>
      </c>
      <c r="B31" s="20" t="s">
        <v>78</v>
      </c>
    </row>
    <row r="32" spans="1:11" ht="14.25" customHeight="1" x14ac:dyDescent="0.35">
      <c r="A32" s="19">
        <f t="shared" si="0"/>
        <v>23</v>
      </c>
      <c r="B32" s="20" t="s">
        <v>81</v>
      </c>
    </row>
    <row r="33" spans="1:2" ht="14.25" customHeight="1" x14ac:dyDescent="0.35">
      <c r="A33" s="19">
        <f t="shared" si="0"/>
        <v>24</v>
      </c>
      <c r="B33" s="20" t="s">
        <v>82</v>
      </c>
    </row>
    <row r="34" spans="1:2" ht="14.25" customHeight="1" x14ac:dyDescent="0.35">
      <c r="A34" s="19">
        <f t="shared" si="0"/>
        <v>25</v>
      </c>
      <c r="B34" s="20" t="s">
        <v>13</v>
      </c>
    </row>
    <row r="35" spans="1:2" ht="14.25" customHeight="1" x14ac:dyDescent="0.35">
      <c r="A35" s="19">
        <f t="shared" si="0"/>
        <v>26</v>
      </c>
      <c r="B35" s="20" t="s">
        <v>19</v>
      </c>
    </row>
    <row r="36" spans="1:2" ht="14.25" customHeight="1" x14ac:dyDescent="0.35">
      <c r="A36" s="19">
        <f t="shared" si="0"/>
        <v>27</v>
      </c>
      <c r="B36" s="20" t="s">
        <v>27</v>
      </c>
    </row>
    <row r="37" spans="1:2" ht="14.25" customHeight="1" x14ac:dyDescent="0.35">
      <c r="A37" s="19">
        <f t="shared" si="0"/>
        <v>28</v>
      </c>
      <c r="B37" s="20" t="s">
        <v>31</v>
      </c>
    </row>
    <row r="38" spans="1:2" ht="14.25" customHeight="1" x14ac:dyDescent="0.35">
      <c r="A38" s="19">
        <f t="shared" si="0"/>
        <v>29</v>
      </c>
      <c r="B38" s="20" t="s">
        <v>39</v>
      </c>
    </row>
    <row r="39" spans="1:2" ht="14.25" customHeight="1" x14ac:dyDescent="0.35">
      <c r="A39" s="19">
        <f t="shared" si="0"/>
        <v>30</v>
      </c>
      <c r="B39" s="20" t="s">
        <v>132</v>
      </c>
    </row>
    <row r="40" spans="1:2" ht="14.25" customHeight="1" x14ac:dyDescent="0.35">
      <c r="A40" s="19">
        <f t="shared" si="0"/>
        <v>31</v>
      </c>
      <c r="B40" s="20" t="s">
        <v>51</v>
      </c>
    </row>
    <row r="41" spans="1:2" ht="14.25" customHeight="1" x14ac:dyDescent="0.35">
      <c r="A41" s="19">
        <f t="shared" si="0"/>
        <v>32</v>
      </c>
      <c r="B41" s="20" t="s">
        <v>63</v>
      </c>
    </row>
    <row r="42" spans="1:2" ht="14.25" customHeight="1" x14ac:dyDescent="0.35">
      <c r="A42" s="19"/>
    </row>
  </sheetData>
  <mergeCells count="6">
    <mergeCell ref="P8:Q8"/>
    <mergeCell ref="A8:B8"/>
    <mergeCell ref="D8:E8"/>
    <mergeCell ref="G8:H8"/>
    <mergeCell ref="J8:K8"/>
    <mergeCell ref="M8:N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8342-CCB4-4DB6-BA22-AE7869E2BBA0}">
  <sheetPr codeName="Blad5">
    <tabColor rgb="FF93CDDD"/>
  </sheetPr>
  <dimension ref="A6:J82"/>
  <sheetViews>
    <sheetView topLeftCell="A64" zoomScaleNormal="100" workbookViewId="0">
      <selection activeCell="J82" sqref="J82"/>
    </sheetView>
  </sheetViews>
  <sheetFormatPr defaultColWidth="8.6328125" defaultRowHeight="14.5" x14ac:dyDescent="0.35"/>
  <cols>
    <col min="1" max="1" width="5" style="14" customWidth="1"/>
    <col min="2" max="2" width="12" style="14" customWidth="1"/>
    <col min="3" max="3" width="7" style="14" customWidth="1"/>
    <col min="4" max="4" width="20" style="14" customWidth="1"/>
    <col min="5" max="6" width="5" style="14" customWidth="1"/>
    <col min="7" max="7" width="20" style="14" customWidth="1"/>
    <col min="8" max="8" width="5" style="14" hidden="1" customWidth="1"/>
    <col min="9" max="9" width="2.81640625" style="14" customWidth="1"/>
    <col min="10" max="16384" width="8.6328125" style="14"/>
  </cols>
  <sheetData>
    <row r="6" spans="1:10" x14ac:dyDescent="0.35">
      <c r="J6" s="53" t="s">
        <v>342</v>
      </c>
    </row>
    <row r="8" spans="1:10" ht="14.25" customHeight="1" x14ac:dyDescent="0.35">
      <c r="A8" s="18" t="s">
        <v>0</v>
      </c>
      <c r="B8" s="18" t="s">
        <v>1</v>
      </c>
      <c r="C8" s="18" t="s">
        <v>2</v>
      </c>
      <c r="D8" s="18" t="s">
        <v>3</v>
      </c>
      <c r="E8" s="18" t="s">
        <v>4</v>
      </c>
      <c r="F8" s="18" t="s">
        <v>5</v>
      </c>
      <c r="G8" s="18" t="s">
        <v>6</v>
      </c>
      <c r="H8" s="18" t="s">
        <v>7</v>
      </c>
    </row>
    <row r="9" spans="1:10" ht="14.25" customHeight="1" x14ac:dyDescent="0.35">
      <c r="A9" s="15">
        <v>1</v>
      </c>
      <c r="B9" s="15" t="s">
        <v>8</v>
      </c>
      <c r="C9" s="15" t="s">
        <v>9</v>
      </c>
      <c r="D9" s="16" t="s">
        <v>10</v>
      </c>
      <c r="E9" s="17">
        <v>2</v>
      </c>
      <c r="F9" s="17">
        <v>0</v>
      </c>
      <c r="G9" s="16" t="s">
        <v>11</v>
      </c>
      <c r="H9" s="15" t="str">
        <f t="shared" ref="H9:H40" si="0">IF(AND(E9&lt;&gt;"",F9&lt;&gt;""),IF(E9&gt;F9,"H",IF(E9&lt;F9,"A","D")),"")</f>
        <v>H</v>
      </c>
      <c r="J9" s="14">
        <v>3</v>
      </c>
    </row>
    <row r="10" spans="1:10" ht="14.25" customHeight="1" x14ac:dyDescent="0.35">
      <c r="A10" s="15">
        <v>2</v>
      </c>
      <c r="B10" s="15" t="s">
        <v>8</v>
      </c>
      <c r="C10" s="15" t="s">
        <v>9</v>
      </c>
      <c r="D10" s="16" t="s">
        <v>12</v>
      </c>
      <c r="E10" s="17">
        <v>2</v>
      </c>
      <c r="F10" s="17">
        <v>1</v>
      </c>
      <c r="G10" s="16" t="s">
        <v>13</v>
      </c>
      <c r="H10" s="15" t="str">
        <f t="shared" si="0"/>
        <v>H</v>
      </c>
      <c r="J10" s="14">
        <v>3</v>
      </c>
    </row>
    <row r="11" spans="1:10" ht="14.25" customHeight="1" x14ac:dyDescent="0.35">
      <c r="A11" s="15">
        <v>3</v>
      </c>
      <c r="B11" s="15" t="s">
        <v>14</v>
      </c>
      <c r="C11" s="15" t="s">
        <v>9</v>
      </c>
      <c r="D11" s="16" t="s">
        <v>13</v>
      </c>
      <c r="E11" s="17">
        <v>2</v>
      </c>
      <c r="F11" s="17">
        <v>1</v>
      </c>
      <c r="G11" s="16" t="s">
        <v>11</v>
      </c>
      <c r="H11" s="15" t="str">
        <f t="shared" si="0"/>
        <v>H</v>
      </c>
    </row>
    <row r="12" spans="1:10" ht="14.25" customHeight="1" x14ac:dyDescent="0.35">
      <c r="A12" s="15">
        <v>4</v>
      </c>
      <c r="B12" s="15" t="s">
        <v>14</v>
      </c>
      <c r="C12" s="15" t="s">
        <v>9</v>
      </c>
      <c r="D12" s="16" t="s">
        <v>10</v>
      </c>
      <c r="E12" s="17">
        <v>2</v>
      </c>
      <c r="F12" s="17">
        <v>1</v>
      </c>
      <c r="G12" s="16" t="s">
        <v>12</v>
      </c>
      <c r="H12" s="15" t="str">
        <f t="shared" si="0"/>
        <v>H</v>
      </c>
    </row>
    <row r="13" spans="1:10" ht="14.25" customHeight="1" x14ac:dyDescent="0.35">
      <c r="A13" s="15">
        <v>5</v>
      </c>
      <c r="B13" s="15" t="s">
        <v>15</v>
      </c>
      <c r="C13" s="15" t="s">
        <v>9</v>
      </c>
      <c r="D13" s="16" t="s">
        <v>13</v>
      </c>
      <c r="E13" s="17">
        <v>1</v>
      </c>
      <c r="F13" s="17">
        <v>2</v>
      </c>
      <c r="G13" s="16" t="s">
        <v>10</v>
      </c>
      <c r="H13" s="15" t="str">
        <f t="shared" si="0"/>
        <v>A</v>
      </c>
    </row>
    <row r="14" spans="1:10" ht="14.25" customHeight="1" x14ac:dyDescent="0.35">
      <c r="A14" s="15">
        <v>6</v>
      </c>
      <c r="B14" s="15" t="s">
        <v>15</v>
      </c>
      <c r="C14" s="15" t="s">
        <v>9</v>
      </c>
      <c r="D14" s="16" t="s">
        <v>11</v>
      </c>
      <c r="E14" s="17">
        <v>1</v>
      </c>
      <c r="F14" s="17">
        <v>2</v>
      </c>
      <c r="G14" s="16" t="s">
        <v>12</v>
      </c>
      <c r="H14" s="15" t="str">
        <f t="shared" si="0"/>
        <v>A</v>
      </c>
    </row>
    <row r="15" spans="1:10" ht="14.25" customHeight="1" x14ac:dyDescent="0.35">
      <c r="A15" s="15">
        <v>7</v>
      </c>
      <c r="B15" s="15" t="s">
        <v>16</v>
      </c>
      <c r="C15" s="15" t="s">
        <v>17</v>
      </c>
      <c r="D15" s="16" t="s">
        <v>18</v>
      </c>
      <c r="E15" s="17">
        <v>2</v>
      </c>
      <c r="F15" s="17">
        <v>1</v>
      </c>
      <c r="G15" s="16" t="s">
        <v>19</v>
      </c>
      <c r="H15" s="15" t="str">
        <f t="shared" si="0"/>
        <v>H</v>
      </c>
      <c r="J15" s="14">
        <v>0</v>
      </c>
    </row>
    <row r="16" spans="1:10" ht="14.25" customHeight="1" x14ac:dyDescent="0.35">
      <c r="A16" s="15">
        <v>8</v>
      </c>
      <c r="B16" s="15" t="s">
        <v>20</v>
      </c>
      <c r="C16" s="15" t="s">
        <v>17</v>
      </c>
      <c r="D16" s="16" t="s">
        <v>21</v>
      </c>
      <c r="E16" s="17">
        <v>0</v>
      </c>
      <c r="F16" s="17">
        <v>2</v>
      </c>
      <c r="G16" s="16" t="s">
        <v>22</v>
      </c>
      <c r="H16" s="15" t="str">
        <f t="shared" si="0"/>
        <v>A</v>
      </c>
      <c r="J16" s="14">
        <v>0</v>
      </c>
    </row>
    <row r="17" spans="1:10" ht="14.25" customHeight="1" x14ac:dyDescent="0.35">
      <c r="A17" s="15">
        <v>9</v>
      </c>
      <c r="B17" s="15" t="s">
        <v>14</v>
      </c>
      <c r="C17" s="15" t="s">
        <v>17</v>
      </c>
      <c r="D17" s="16" t="s">
        <v>22</v>
      </c>
      <c r="E17" s="17">
        <v>2</v>
      </c>
      <c r="F17" s="17">
        <v>1</v>
      </c>
      <c r="G17" s="16" t="s">
        <v>19</v>
      </c>
      <c r="H17" s="15" t="str">
        <f t="shared" si="0"/>
        <v>H</v>
      </c>
    </row>
    <row r="18" spans="1:10" ht="14.25" customHeight="1" x14ac:dyDescent="0.35">
      <c r="A18" s="15">
        <v>10</v>
      </c>
      <c r="B18" s="15" t="s">
        <v>14</v>
      </c>
      <c r="C18" s="15" t="s">
        <v>17</v>
      </c>
      <c r="D18" s="16" t="s">
        <v>18</v>
      </c>
      <c r="E18" s="17">
        <v>3</v>
      </c>
      <c r="F18" s="17">
        <v>0</v>
      </c>
      <c r="G18" s="16" t="s">
        <v>21</v>
      </c>
      <c r="H18" s="15" t="str">
        <f t="shared" si="0"/>
        <v>H</v>
      </c>
    </row>
    <row r="19" spans="1:10" ht="14.25" customHeight="1" x14ac:dyDescent="0.35">
      <c r="A19" s="15">
        <v>11</v>
      </c>
      <c r="B19" s="15" t="s">
        <v>15</v>
      </c>
      <c r="C19" s="15" t="s">
        <v>17</v>
      </c>
      <c r="D19" s="16" t="s">
        <v>22</v>
      </c>
      <c r="E19" s="17">
        <v>1</v>
      </c>
      <c r="F19" s="17">
        <v>1</v>
      </c>
      <c r="G19" s="16" t="s">
        <v>18</v>
      </c>
      <c r="H19" s="15" t="str">
        <f t="shared" si="0"/>
        <v>D</v>
      </c>
    </row>
    <row r="20" spans="1:10" ht="14.25" customHeight="1" x14ac:dyDescent="0.35">
      <c r="A20" s="15">
        <v>12</v>
      </c>
      <c r="B20" s="15" t="s">
        <v>15</v>
      </c>
      <c r="C20" s="15" t="s">
        <v>17</v>
      </c>
      <c r="D20" s="16" t="s">
        <v>19</v>
      </c>
      <c r="E20" s="17">
        <v>2</v>
      </c>
      <c r="F20" s="17">
        <v>1</v>
      </c>
      <c r="G20" s="16" t="s">
        <v>21</v>
      </c>
      <c r="H20" s="15" t="str">
        <f t="shared" si="0"/>
        <v>H</v>
      </c>
    </row>
    <row r="21" spans="1:10" ht="14.25" customHeight="1" x14ac:dyDescent="0.35">
      <c r="A21" s="15">
        <v>13</v>
      </c>
      <c r="B21" s="15" t="s">
        <v>20</v>
      </c>
      <c r="C21" s="15" t="s">
        <v>23</v>
      </c>
      <c r="D21" s="16" t="s">
        <v>24</v>
      </c>
      <c r="E21" s="17">
        <v>2</v>
      </c>
      <c r="F21" s="17">
        <v>0</v>
      </c>
      <c r="G21" s="16" t="s">
        <v>25</v>
      </c>
      <c r="H21" s="15" t="str">
        <f t="shared" si="0"/>
        <v>H</v>
      </c>
      <c r="J21" s="14">
        <v>0</v>
      </c>
    </row>
    <row r="22" spans="1:10" ht="14.25" customHeight="1" x14ac:dyDescent="0.35">
      <c r="A22" s="15">
        <v>14</v>
      </c>
      <c r="B22" s="15" t="s">
        <v>20</v>
      </c>
      <c r="C22" s="15" t="s">
        <v>23</v>
      </c>
      <c r="D22" s="16" t="s">
        <v>26</v>
      </c>
      <c r="E22" s="17">
        <v>1</v>
      </c>
      <c r="F22" s="17">
        <v>2</v>
      </c>
      <c r="G22" s="16" t="s">
        <v>27</v>
      </c>
      <c r="H22" s="15" t="str">
        <f t="shared" si="0"/>
        <v>A</v>
      </c>
      <c r="J22" s="14">
        <v>1</v>
      </c>
    </row>
    <row r="23" spans="1:10" ht="14.25" customHeight="1" x14ac:dyDescent="0.35">
      <c r="A23" s="15">
        <v>15</v>
      </c>
      <c r="B23" s="15" t="s">
        <v>28</v>
      </c>
      <c r="C23" s="15" t="s">
        <v>23</v>
      </c>
      <c r="D23" s="16" t="s">
        <v>27</v>
      </c>
      <c r="E23" s="17">
        <v>1</v>
      </c>
      <c r="F23" s="17">
        <v>2</v>
      </c>
      <c r="G23" s="16" t="s">
        <v>25</v>
      </c>
      <c r="H23" s="15" t="str">
        <f t="shared" si="0"/>
        <v>A</v>
      </c>
    </row>
    <row r="24" spans="1:10" ht="14.25" customHeight="1" x14ac:dyDescent="0.35">
      <c r="A24" s="15">
        <v>16</v>
      </c>
      <c r="B24" s="15" t="s">
        <v>28</v>
      </c>
      <c r="C24" s="15" t="s">
        <v>23</v>
      </c>
      <c r="D24" s="16" t="s">
        <v>24</v>
      </c>
      <c r="E24" s="17">
        <v>4</v>
      </c>
      <c r="F24" s="17">
        <v>0</v>
      </c>
      <c r="G24" s="16" t="s">
        <v>26</v>
      </c>
      <c r="H24" s="15" t="str">
        <f t="shared" si="0"/>
        <v>H</v>
      </c>
    </row>
    <row r="25" spans="1:10" ht="14.25" customHeight="1" x14ac:dyDescent="0.35">
      <c r="A25" s="15">
        <v>17</v>
      </c>
      <c r="B25" s="15" t="s">
        <v>15</v>
      </c>
      <c r="C25" s="15" t="s">
        <v>23</v>
      </c>
      <c r="D25" s="16" t="s">
        <v>27</v>
      </c>
      <c r="E25" s="17">
        <v>0</v>
      </c>
      <c r="F25" s="17">
        <v>4</v>
      </c>
      <c r="G25" s="16" t="s">
        <v>24</v>
      </c>
      <c r="H25" s="15" t="str">
        <f t="shared" si="0"/>
        <v>A</v>
      </c>
    </row>
    <row r="26" spans="1:10" ht="14.25" customHeight="1" x14ac:dyDescent="0.35">
      <c r="A26" s="15">
        <v>18</v>
      </c>
      <c r="B26" s="15" t="s">
        <v>15</v>
      </c>
      <c r="C26" s="15" t="s">
        <v>23</v>
      </c>
      <c r="D26" s="16" t="s">
        <v>25</v>
      </c>
      <c r="E26" s="17">
        <v>2</v>
      </c>
      <c r="F26" s="17">
        <v>0</v>
      </c>
      <c r="G26" s="16" t="s">
        <v>26</v>
      </c>
      <c r="H26" s="15" t="str">
        <f t="shared" si="0"/>
        <v>H</v>
      </c>
    </row>
    <row r="27" spans="1:10" ht="14.25" customHeight="1" x14ac:dyDescent="0.35">
      <c r="A27" s="15">
        <v>19</v>
      </c>
      <c r="B27" s="15" t="s">
        <v>16</v>
      </c>
      <c r="C27" s="15" t="s">
        <v>29</v>
      </c>
      <c r="D27" s="16" t="s">
        <v>30</v>
      </c>
      <c r="E27" s="17">
        <v>2</v>
      </c>
      <c r="F27" s="17">
        <v>0</v>
      </c>
      <c r="G27" s="16" t="s">
        <v>31</v>
      </c>
      <c r="H27" s="15" t="str">
        <f t="shared" si="0"/>
        <v>H</v>
      </c>
      <c r="J27" s="14">
        <v>1</v>
      </c>
    </row>
    <row r="28" spans="1:10" ht="14.25" customHeight="1" x14ac:dyDescent="0.35">
      <c r="A28" s="15">
        <v>20</v>
      </c>
      <c r="B28" s="15" t="s">
        <v>20</v>
      </c>
      <c r="C28" s="15" t="s">
        <v>29</v>
      </c>
      <c r="D28" s="16" t="s">
        <v>32</v>
      </c>
      <c r="E28" s="17">
        <v>1</v>
      </c>
      <c r="F28" s="17">
        <v>2</v>
      </c>
      <c r="G28" s="16" t="s">
        <v>33</v>
      </c>
      <c r="H28" s="15" t="str">
        <f t="shared" si="0"/>
        <v>A</v>
      </c>
      <c r="J28" s="14">
        <v>0</v>
      </c>
    </row>
    <row r="29" spans="1:10" ht="14.25" customHeight="1" x14ac:dyDescent="0.35">
      <c r="A29" s="15">
        <v>21</v>
      </c>
      <c r="B29" s="15" t="s">
        <v>28</v>
      </c>
      <c r="C29" s="15" t="s">
        <v>29</v>
      </c>
      <c r="D29" s="16" t="s">
        <v>30</v>
      </c>
      <c r="E29" s="17">
        <v>2</v>
      </c>
      <c r="F29" s="17">
        <v>0</v>
      </c>
      <c r="G29" s="16" t="s">
        <v>32</v>
      </c>
      <c r="H29" s="15" t="str">
        <f t="shared" si="0"/>
        <v>H</v>
      </c>
    </row>
    <row r="30" spans="1:10" ht="14.25" customHeight="1" x14ac:dyDescent="0.35">
      <c r="A30" s="15">
        <v>22</v>
      </c>
      <c r="B30" s="15" t="s">
        <v>28</v>
      </c>
      <c r="C30" s="15" t="s">
        <v>29</v>
      </c>
      <c r="D30" s="16" t="s">
        <v>33</v>
      </c>
      <c r="E30" s="17">
        <v>2</v>
      </c>
      <c r="F30" s="17">
        <v>1</v>
      </c>
      <c r="G30" s="16" t="s">
        <v>31</v>
      </c>
      <c r="H30" s="15" t="str">
        <f t="shared" si="0"/>
        <v>H</v>
      </c>
    </row>
    <row r="31" spans="1:10" ht="14.25" customHeight="1" x14ac:dyDescent="0.35">
      <c r="A31" s="15">
        <v>23</v>
      </c>
      <c r="B31" s="15" t="s">
        <v>34</v>
      </c>
      <c r="C31" s="15" t="s">
        <v>29</v>
      </c>
      <c r="D31" s="16" t="s">
        <v>33</v>
      </c>
      <c r="E31" s="17">
        <v>1</v>
      </c>
      <c r="F31" s="17">
        <v>2</v>
      </c>
      <c r="G31" s="16" t="s">
        <v>30</v>
      </c>
      <c r="H31" s="15" t="str">
        <f t="shared" si="0"/>
        <v>A</v>
      </c>
    </row>
    <row r="32" spans="1:10" ht="14.25" customHeight="1" x14ac:dyDescent="0.35">
      <c r="A32" s="15">
        <v>24</v>
      </c>
      <c r="B32" s="15" t="s">
        <v>34</v>
      </c>
      <c r="C32" s="15" t="s">
        <v>29</v>
      </c>
      <c r="D32" s="16" t="s">
        <v>31</v>
      </c>
      <c r="E32" s="17">
        <v>1</v>
      </c>
      <c r="F32" s="17">
        <v>1</v>
      </c>
      <c r="G32" s="16" t="s">
        <v>32</v>
      </c>
      <c r="H32" s="15" t="str">
        <f t="shared" si="0"/>
        <v>D</v>
      </c>
    </row>
    <row r="33" spans="1:10" ht="14.25" customHeight="1" x14ac:dyDescent="0.35">
      <c r="A33" s="15">
        <v>25</v>
      </c>
      <c r="B33" s="15" t="s">
        <v>35</v>
      </c>
      <c r="C33" s="15" t="s">
        <v>36</v>
      </c>
      <c r="D33" s="16" t="s">
        <v>37</v>
      </c>
      <c r="E33" s="17">
        <v>4</v>
      </c>
      <c r="F33" s="17">
        <v>0</v>
      </c>
      <c r="G33" s="16" t="s">
        <v>38</v>
      </c>
      <c r="H33" s="15" t="str">
        <f t="shared" si="0"/>
        <v>H</v>
      </c>
      <c r="J33" s="14">
        <v>1</v>
      </c>
    </row>
    <row r="34" spans="1:10" ht="14.25" customHeight="1" x14ac:dyDescent="0.35">
      <c r="A34" s="15">
        <v>26</v>
      </c>
      <c r="B34" s="15" t="s">
        <v>35</v>
      </c>
      <c r="C34" s="15" t="s">
        <v>36</v>
      </c>
      <c r="D34" s="16" t="s">
        <v>39</v>
      </c>
      <c r="E34" s="17">
        <v>1</v>
      </c>
      <c r="F34" s="17">
        <v>1</v>
      </c>
      <c r="G34" s="16" t="s">
        <v>40</v>
      </c>
      <c r="H34" s="15" t="str">
        <f t="shared" si="0"/>
        <v>D</v>
      </c>
      <c r="J34" s="14">
        <v>0</v>
      </c>
    </row>
    <row r="35" spans="1:10" ht="14.25" customHeight="1" x14ac:dyDescent="0.35">
      <c r="A35" s="15">
        <v>27</v>
      </c>
      <c r="B35" s="15" t="s">
        <v>41</v>
      </c>
      <c r="C35" s="15" t="s">
        <v>36</v>
      </c>
      <c r="D35" s="16" t="s">
        <v>37</v>
      </c>
      <c r="E35" s="17">
        <v>4</v>
      </c>
      <c r="F35" s="17">
        <v>0</v>
      </c>
      <c r="G35" s="16" t="s">
        <v>39</v>
      </c>
      <c r="H35" s="15" t="str">
        <f t="shared" si="0"/>
        <v>H</v>
      </c>
    </row>
    <row r="36" spans="1:10" ht="14.25" customHeight="1" x14ac:dyDescent="0.35">
      <c r="A36" s="15">
        <v>28</v>
      </c>
      <c r="B36" s="15" t="s">
        <v>41</v>
      </c>
      <c r="C36" s="15" t="s">
        <v>36</v>
      </c>
      <c r="D36" s="16" t="s">
        <v>40</v>
      </c>
      <c r="E36" s="17">
        <v>2</v>
      </c>
      <c r="F36" s="17">
        <v>1</v>
      </c>
      <c r="G36" s="16" t="s">
        <v>38</v>
      </c>
      <c r="H36" s="15" t="str">
        <f t="shared" si="0"/>
        <v>H</v>
      </c>
    </row>
    <row r="37" spans="1:10" ht="14.25" customHeight="1" x14ac:dyDescent="0.35">
      <c r="A37" s="15">
        <v>29</v>
      </c>
      <c r="B37" s="15" t="s">
        <v>34</v>
      </c>
      <c r="C37" s="15" t="s">
        <v>36</v>
      </c>
      <c r="D37" s="16" t="s">
        <v>40</v>
      </c>
      <c r="E37" s="17">
        <v>0</v>
      </c>
      <c r="F37" s="17">
        <v>4</v>
      </c>
      <c r="G37" s="16" t="s">
        <v>37</v>
      </c>
      <c r="H37" s="15" t="str">
        <f t="shared" si="0"/>
        <v>A</v>
      </c>
    </row>
    <row r="38" spans="1:10" ht="14.25" customHeight="1" x14ac:dyDescent="0.35">
      <c r="A38" s="15">
        <v>30</v>
      </c>
      <c r="B38" s="15" t="s">
        <v>34</v>
      </c>
      <c r="C38" s="15" t="s">
        <v>36</v>
      </c>
      <c r="D38" s="16" t="s">
        <v>38</v>
      </c>
      <c r="E38" s="17">
        <v>1</v>
      </c>
      <c r="F38" s="17">
        <v>2</v>
      </c>
      <c r="G38" s="16" t="s">
        <v>39</v>
      </c>
      <c r="H38" s="15" t="str">
        <f t="shared" si="0"/>
        <v>A</v>
      </c>
    </row>
    <row r="39" spans="1:10" ht="14.25" customHeight="1" x14ac:dyDescent="0.35">
      <c r="A39" s="15">
        <v>31</v>
      </c>
      <c r="B39" s="15" t="s">
        <v>35</v>
      </c>
      <c r="C39" s="15" t="s">
        <v>42</v>
      </c>
      <c r="D39" s="16" t="s">
        <v>43</v>
      </c>
      <c r="E39" s="17">
        <v>2</v>
      </c>
      <c r="F39" s="17">
        <v>1</v>
      </c>
      <c r="G39" s="16" t="s">
        <v>44</v>
      </c>
      <c r="H39" s="15" t="str">
        <f t="shared" si="0"/>
        <v>H</v>
      </c>
      <c r="J39" s="14">
        <v>0</v>
      </c>
    </row>
    <row r="40" spans="1:10" ht="14.25" customHeight="1" x14ac:dyDescent="0.35">
      <c r="A40" s="15">
        <v>32</v>
      </c>
      <c r="B40" s="15" t="s">
        <v>35</v>
      </c>
      <c r="C40" s="15" t="s">
        <v>42</v>
      </c>
      <c r="D40" s="16" t="s">
        <v>45</v>
      </c>
      <c r="E40" s="17">
        <v>1</v>
      </c>
      <c r="F40" s="17">
        <v>1</v>
      </c>
      <c r="G40" s="16" t="s">
        <v>46</v>
      </c>
      <c r="H40" s="15" t="str">
        <f t="shared" si="0"/>
        <v>D</v>
      </c>
      <c r="J40" s="14">
        <v>0</v>
      </c>
    </row>
    <row r="41" spans="1:10" ht="14.25" customHeight="1" x14ac:dyDescent="0.35">
      <c r="A41" s="15">
        <v>33</v>
      </c>
      <c r="B41" s="15" t="s">
        <v>41</v>
      </c>
      <c r="C41" s="15" t="s">
        <v>42</v>
      </c>
      <c r="D41" s="16" t="s">
        <v>43</v>
      </c>
      <c r="E41" s="17">
        <v>2</v>
      </c>
      <c r="F41" s="17">
        <v>0</v>
      </c>
      <c r="G41" s="16" t="s">
        <v>45</v>
      </c>
      <c r="H41" s="15" t="str">
        <f t="shared" ref="H41:H72" si="1">IF(AND(E41&lt;&gt;"",F41&lt;&gt;""),IF(E41&gt;F41,"H",IF(E41&lt;F41,"A","D")),"")</f>
        <v>H</v>
      </c>
    </row>
    <row r="42" spans="1:10" ht="14.25" customHeight="1" x14ac:dyDescent="0.35">
      <c r="A42" s="15">
        <v>34</v>
      </c>
      <c r="B42" s="15" t="s">
        <v>41</v>
      </c>
      <c r="C42" s="15" t="s">
        <v>42</v>
      </c>
      <c r="D42" s="16" t="s">
        <v>46</v>
      </c>
      <c r="E42" s="17">
        <v>1</v>
      </c>
      <c r="F42" s="17">
        <v>2</v>
      </c>
      <c r="G42" s="16" t="s">
        <v>44</v>
      </c>
      <c r="H42" s="15" t="str">
        <f t="shared" si="1"/>
        <v>A</v>
      </c>
    </row>
    <row r="43" spans="1:10" ht="14.25" customHeight="1" x14ac:dyDescent="0.35">
      <c r="A43" s="15">
        <v>35</v>
      </c>
      <c r="B43" s="15" t="s">
        <v>34</v>
      </c>
      <c r="C43" s="15" t="s">
        <v>42</v>
      </c>
      <c r="D43" s="16" t="s">
        <v>44</v>
      </c>
      <c r="E43" s="17">
        <v>2</v>
      </c>
      <c r="F43" s="17">
        <v>1</v>
      </c>
      <c r="G43" s="16" t="s">
        <v>45</v>
      </c>
      <c r="H43" s="15" t="str">
        <f t="shared" si="1"/>
        <v>H</v>
      </c>
    </row>
    <row r="44" spans="1:10" ht="14.25" customHeight="1" x14ac:dyDescent="0.35">
      <c r="A44" s="15">
        <v>36</v>
      </c>
      <c r="B44" s="15" t="s">
        <v>34</v>
      </c>
      <c r="C44" s="15" t="s">
        <v>42</v>
      </c>
      <c r="D44" s="16" t="s">
        <v>46</v>
      </c>
      <c r="E44" s="17">
        <v>0</v>
      </c>
      <c r="F44" s="17">
        <v>2</v>
      </c>
      <c r="G44" s="16" t="s">
        <v>43</v>
      </c>
      <c r="H44" s="15" t="str">
        <f t="shared" si="1"/>
        <v>A</v>
      </c>
    </row>
    <row r="45" spans="1:10" ht="14.25" customHeight="1" x14ac:dyDescent="0.35">
      <c r="A45" s="15">
        <v>37</v>
      </c>
      <c r="B45" s="15" t="s">
        <v>47</v>
      </c>
      <c r="C45" s="15" t="s">
        <v>48</v>
      </c>
      <c r="D45" s="16" t="s">
        <v>49</v>
      </c>
      <c r="E45" s="17">
        <v>2</v>
      </c>
      <c r="F45" s="17">
        <v>0</v>
      </c>
      <c r="G45" s="16" t="s">
        <v>50</v>
      </c>
      <c r="H45" s="15" t="str">
        <f t="shared" si="1"/>
        <v>H</v>
      </c>
      <c r="J45" s="14">
        <v>0</v>
      </c>
    </row>
    <row r="46" spans="1:10" ht="14.25" customHeight="1" x14ac:dyDescent="0.35">
      <c r="A46" s="15">
        <v>38</v>
      </c>
      <c r="B46" s="15" t="s">
        <v>47</v>
      </c>
      <c r="C46" s="15" t="s">
        <v>48</v>
      </c>
      <c r="D46" s="16" t="s">
        <v>51</v>
      </c>
      <c r="E46" s="17">
        <v>2</v>
      </c>
      <c r="F46" s="17">
        <v>1</v>
      </c>
      <c r="G46" s="16" t="s">
        <v>52</v>
      </c>
      <c r="H46" s="15" t="str">
        <f t="shared" si="1"/>
        <v>H</v>
      </c>
      <c r="J46" s="14">
        <v>0</v>
      </c>
    </row>
    <row r="47" spans="1:10" ht="14.25" customHeight="1" x14ac:dyDescent="0.35">
      <c r="A47" s="15">
        <v>39</v>
      </c>
      <c r="B47" s="15" t="s">
        <v>53</v>
      </c>
      <c r="C47" s="15" t="s">
        <v>48</v>
      </c>
      <c r="D47" s="16" t="s">
        <v>49</v>
      </c>
      <c r="E47" s="17">
        <v>2</v>
      </c>
      <c r="F47" s="17">
        <v>0</v>
      </c>
      <c r="G47" s="16" t="s">
        <v>51</v>
      </c>
      <c r="H47" s="15" t="str">
        <f t="shared" si="1"/>
        <v>H</v>
      </c>
    </row>
    <row r="48" spans="1:10" ht="14.25" customHeight="1" x14ac:dyDescent="0.35">
      <c r="A48" s="15">
        <v>40</v>
      </c>
      <c r="B48" s="15" t="s">
        <v>53</v>
      </c>
      <c r="C48" s="15" t="s">
        <v>48</v>
      </c>
      <c r="D48" s="16" t="s">
        <v>52</v>
      </c>
      <c r="E48" s="17">
        <v>1</v>
      </c>
      <c r="F48" s="17">
        <v>2</v>
      </c>
      <c r="G48" s="16" t="s">
        <v>50</v>
      </c>
      <c r="H48" s="15" t="str">
        <f t="shared" si="1"/>
        <v>A</v>
      </c>
    </row>
    <row r="49" spans="1:10" ht="14.25" customHeight="1" x14ac:dyDescent="0.35">
      <c r="A49" s="15">
        <v>41</v>
      </c>
      <c r="B49" s="15" t="s">
        <v>54</v>
      </c>
      <c r="C49" s="15" t="s">
        <v>48</v>
      </c>
      <c r="D49" s="16" t="s">
        <v>50</v>
      </c>
      <c r="E49" s="17">
        <v>2</v>
      </c>
      <c r="F49" s="17">
        <v>1</v>
      </c>
      <c r="G49" s="16" t="s">
        <v>51</v>
      </c>
      <c r="H49" s="15" t="str">
        <f t="shared" si="1"/>
        <v>H</v>
      </c>
    </row>
    <row r="50" spans="1:10" ht="14.25" customHeight="1" x14ac:dyDescent="0.35">
      <c r="A50" s="15">
        <v>42</v>
      </c>
      <c r="B50" s="15" t="s">
        <v>54</v>
      </c>
      <c r="C50" s="15" t="s">
        <v>48</v>
      </c>
      <c r="D50" s="16" t="s">
        <v>52</v>
      </c>
      <c r="E50" s="17">
        <v>0</v>
      </c>
      <c r="F50" s="17">
        <v>3</v>
      </c>
      <c r="G50" s="16" t="s">
        <v>49</v>
      </c>
      <c r="H50" s="15" t="str">
        <f t="shared" si="1"/>
        <v>A</v>
      </c>
    </row>
    <row r="51" spans="1:10" ht="14.25" customHeight="1" x14ac:dyDescent="0.35">
      <c r="A51" s="15">
        <v>43</v>
      </c>
      <c r="B51" s="15" t="s">
        <v>47</v>
      </c>
      <c r="C51" s="15" t="s">
        <v>55</v>
      </c>
      <c r="D51" s="16" t="s">
        <v>56</v>
      </c>
      <c r="E51" s="17">
        <v>4</v>
      </c>
      <c r="F51" s="17">
        <v>0</v>
      </c>
      <c r="G51" s="16" t="s">
        <v>57</v>
      </c>
      <c r="H51" s="15" t="str">
        <f t="shared" si="1"/>
        <v>H</v>
      </c>
      <c r="J51" s="14">
        <v>0</v>
      </c>
    </row>
    <row r="52" spans="1:10" ht="14.25" customHeight="1" x14ac:dyDescent="0.35">
      <c r="A52" s="15">
        <v>44</v>
      </c>
      <c r="B52" s="15" t="s">
        <v>47</v>
      </c>
      <c r="C52" s="15" t="s">
        <v>55</v>
      </c>
      <c r="D52" s="16" t="s">
        <v>58</v>
      </c>
      <c r="E52" s="17">
        <v>0</v>
      </c>
      <c r="F52" s="17">
        <v>2</v>
      </c>
      <c r="G52" s="16" t="s">
        <v>59</v>
      </c>
      <c r="H52" s="15" t="str">
        <f t="shared" si="1"/>
        <v>A</v>
      </c>
      <c r="J52" s="14">
        <v>0</v>
      </c>
    </row>
    <row r="53" spans="1:10" ht="14.25" customHeight="1" x14ac:dyDescent="0.35">
      <c r="A53" s="15">
        <v>45</v>
      </c>
      <c r="B53" s="15" t="s">
        <v>53</v>
      </c>
      <c r="C53" s="15" t="s">
        <v>55</v>
      </c>
      <c r="D53" s="16" t="s">
        <v>56</v>
      </c>
      <c r="E53" s="17">
        <v>2</v>
      </c>
      <c r="F53" s="17">
        <v>0</v>
      </c>
      <c r="G53" s="16" t="s">
        <v>58</v>
      </c>
      <c r="H53" s="15" t="str">
        <f t="shared" si="1"/>
        <v>H</v>
      </c>
    </row>
    <row r="54" spans="1:10" ht="14.25" customHeight="1" x14ac:dyDescent="0.35">
      <c r="A54" s="15">
        <v>46</v>
      </c>
      <c r="B54" s="15" t="s">
        <v>53</v>
      </c>
      <c r="C54" s="15" t="s">
        <v>55</v>
      </c>
      <c r="D54" s="16" t="s">
        <v>59</v>
      </c>
      <c r="E54" s="17">
        <v>3</v>
      </c>
      <c r="F54" s="17">
        <v>0</v>
      </c>
      <c r="G54" s="16" t="s">
        <v>57</v>
      </c>
      <c r="H54" s="15" t="str">
        <f t="shared" si="1"/>
        <v>H</v>
      </c>
    </row>
    <row r="55" spans="1:10" ht="14.25" customHeight="1" x14ac:dyDescent="0.35">
      <c r="A55" s="15">
        <v>47</v>
      </c>
      <c r="B55" s="15" t="s">
        <v>54</v>
      </c>
      <c r="C55" s="15" t="s">
        <v>55</v>
      </c>
      <c r="D55" s="16" t="s">
        <v>57</v>
      </c>
      <c r="E55" s="17">
        <v>0</v>
      </c>
      <c r="F55" s="17">
        <v>1</v>
      </c>
      <c r="G55" s="16" t="s">
        <v>58</v>
      </c>
      <c r="H55" s="15" t="str">
        <f t="shared" si="1"/>
        <v>A</v>
      </c>
    </row>
    <row r="56" spans="1:10" ht="14.25" customHeight="1" x14ac:dyDescent="0.35">
      <c r="A56" s="15">
        <v>48</v>
      </c>
      <c r="B56" s="15" t="s">
        <v>54</v>
      </c>
      <c r="C56" s="15" t="s">
        <v>55</v>
      </c>
      <c r="D56" s="16" t="s">
        <v>59</v>
      </c>
      <c r="E56" s="17">
        <v>1</v>
      </c>
      <c r="F56" s="17">
        <v>2</v>
      </c>
      <c r="G56" s="16" t="s">
        <v>56</v>
      </c>
      <c r="H56" s="15" t="str">
        <f t="shared" si="1"/>
        <v>A</v>
      </c>
    </row>
    <row r="57" spans="1:10" ht="14.25" customHeight="1" x14ac:dyDescent="0.35">
      <c r="A57" s="15">
        <v>49</v>
      </c>
      <c r="B57" s="15" t="s">
        <v>60</v>
      </c>
      <c r="C57" s="15" t="s">
        <v>61</v>
      </c>
      <c r="D57" s="16" t="s">
        <v>62</v>
      </c>
      <c r="E57" s="17">
        <v>2</v>
      </c>
      <c r="F57" s="17">
        <v>0</v>
      </c>
      <c r="G57" s="16" t="s">
        <v>63</v>
      </c>
      <c r="H57" s="15" t="str">
        <f t="shared" si="1"/>
        <v>H</v>
      </c>
      <c r="J57" s="14">
        <v>1</v>
      </c>
    </row>
    <row r="58" spans="1:10" ht="14.25" customHeight="1" x14ac:dyDescent="0.35">
      <c r="A58" s="15">
        <v>50</v>
      </c>
      <c r="B58" s="15" t="s">
        <v>60</v>
      </c>
      <c r="C58" s="15" t="s">
        <v>61</v>
      </c>
      <c r="D58" s="16" t="s">
        <v>64</v>
      </c>
      <c r="E58" s="17">
        <v>0</v>
      </c>
      <c r="F58" s="17">
        <v>2</v>
      </c>
      <c r="G58" s="16" t="s">
        <v>65</v>
      </c>
      <c r="H58" s="15" t="str">
        <f t="shared" si="1"/>
        <v>A</v>
      </c>
      <c r="J58" s="14">
        <v>1</v>
      </c>
    </row>
    <row r="59" spans="1:10" ht="14.25" customHeight="1" x14ac:dyDescent="0.35">
      <c r="A59" s="15">
        <v>51</v>
      </c>
      <c r="B59" s="15" t="s">
        <v>66</v>
      </c>
      <c r="C59" s="15" t="s">
        <v>61</v>
      </c>
      <c r="D59" s="16" t="s">
        <v>62</v>
      </c>
      <c r="E59" s="17">
        <v>4</v>
      </c>
      <c r="F59" s="17">
        <v>0</v>
      </c>
      <c r="G59" s="16" t="s">
        <v>64</v>
      </c>
      <c r="H59" s="15" t="str">
        <f t="shared" si="1"/>
        <v>H</v>
      </c>
    </row>
    <row r="60" spans="1:10" ht="14.25" customHeight="1" x14ac:dyDescent="0.35">
      <c r="A60" s="15">
        <v>52</v>
      </c>
      <c r="B60" s="15" t="s">
        <v>66</v>
      </c>
      <c r="C60" s="15" t="s">
        <v>61</v>
      </c>
      <c r="D60" s="16" t="s">
        <v>65</v>
      </c>
      <c r="E60" s="17">
        <v>2</v>
      </c>
      <c r="F60" s="17">
        <v>1</v>
      </c>
      <c r="G60" s="16" t="s">
        <v>63</v>
      </c>
      <c r="H60" s="15" t="str">
        <f t="shared" si="1"/>
        <v>H</v>
      </c>
    </row>
    <row r="61" spans="1:10" ht="14.25" customHeight="1" x14ac:dyDescent="0.35">
      <c r="A61" s="15">
        <v>53</v>
      </c>
      <c r="B61" s="15" t="s">
        <v>54</v>
      </c>
      <c r="C61" s="15" t="s">
        <v>61</v>
      </c>
      <c r="D61" s="16" t="s">
        <v>65</v>
      </c>
      <c r="E61" s="17">
        <v>0</v>
      </c>
      <c r="F61" s="17">
        <v>2</v>
      </c>
      <c r="G61" s="16" t="s">
        <v>62</v>
      </c>
      <c r="H61" s="15" t="str">
        <f t="shared" si="1"/>
        <v>A</v>
      </c>
    </row>
    <row r="62" spans="1:10" ht="14.25" customHeight="1" x14ac:dyDescent="0.35">
      <c r="A62" s="15">
        <v>54</v>
      </c>
      <c r="B62" s="15" t="s">
        <v>54</v>
      </c>
      <c r="C62" s="15" t="s">
        <v>61</v>
      </c>
      <c r="D62" s="16" t="s">
        <v>63</v>
      </c>
      <c r="E62" s="17">
        <v>2</v>
      </c>
      <c r="F62" s="17">
        <v>0</v>
      </c>
      <c r="G62" s="16" t="s">
        <v>64</v>
      </c>
      <c r="H62" s="15" t="str">
        <f t="shared" si="1"/>
        <v>H</v>
      </c>
    </row>
    <row r="63" spans="1:10" ht="14.25" customHeight="1" x14ac:dyDescent="0.35">
      <c r="A63" s="15">
        <v>55</v>
      </c>
      <c r="B63" s="15" t="s">
        <v>60</v>
      </c>
      <c r="C63" s="15" t="s">
        <v>67</v>
      </c>
      <c r="D63" s="16" t="s">
        <v>68</v>
      </c>
      <c r="E63" s="17">
        <v>4</v>
      </c>
      <c r="F63" s="17">
        <v>0</v>
      </c>
      <c r="G63" s="16" t="s">
        <v>69</v>
      </c>
      <c r="H63" s="15" t="str">
        <f t="shared" si="1"/>
        <v>H</v>
      </c>
      <c r="J63" s="14">
        <v>1</v>
      </c>
    </row>
    <row r="64" spans="1:10" ht="14.25" customHeight="1" x14ac:dyDescent="0.35">
      <c r="A64" s="15">
        <v>56</v>
      </c>
      <c r="B64" s="15" t="s">
        <v>60</v>
      </c>
      <c r="C64" s="15" t="s">
        <v>67</v>
      </c>
      <c r="D64" s="16" t="s">
        <v>70</v>
      </c>
      <c r="E64" s="17">
        <v>2</v>
      </c>
      <c r="F64" s="17">
        <v>0</v>
      </c>
      <c r="G64" s="16" t="s">
        <v>71</v>
      </c>
      <c r="H64" s="15" t="str">
        <f t="shared" si="1"/>
        <v>H</v>
      </c>
      <c r="J64" s="14">
        <v>1</v>
      </c>
    </row>
    <row r="65" spans="1:10" ht="14.25" customHeight="1" x14ac:dyDescent="0.35">
      <c r="A65" s="15">
        <v>57</v>
      </c>
      <c r="B65" s="15" t="s">
        <v>66</v>
      </c>
      <c r="C65" s="15" t="s">
        <v>67</v>
      </c>
      <c r="D65" s="16" t="s">
        <v>68</v>
      </c>
      <c r="E65" s="17">
        <v>2</v>
      </c>
      <c r="F65" s="17">
        <v>0</v>
      </c>
      <c r="G65" s="16" t="s">
        <v>70</v>
      </c>
      <c r="H65" s="15" t="str">
        <f t="shared" si="1"/>
        <v>H</v>
      </c>
    </row>
    <row r="66" spans="1:10" ht="14.25" customHeight="1" x14ac:dyDescent="0.35">
      <c r="A66" s="15">
        <v>58</v>
      </c>
      <c r="B66" s="15" t="s">
        <v>66</v>
      </c>
      <c r="C66" s="15" t="s">
        <v>67</v>
      </c>
      <c r="D66" s="16" t="s">
        <v>71</v>
      </c>
      <c r="E66" s="17">
        <v>1</v>
      </c>
      <c r="F66" s="17">
        <v>2</v>
      </c>
      <c r="G66" s="16" t="s">
        <v>69</v>
      </c>
      <c r="H66" s="15" t="str">
        <f t="shared" si="1"/>
        <v>A</v>
      </c>
    </row>
    <row r="67" spans="1:10" ht="14.25" customHeight="1" x14ac:dyDescent="0.35">
      <c r="A67" s="15">
        <v>59</v>
      </c>
      <c r="B67" s="15" t="s">
        <v>72</v>
      </c>
      <c r="C67" s="15" t="s">
        <v>67</v>
      </c>
      <c r="D67" s="16" t="s">
        <v>69</v>
      </c>
      <c r="E67" s="17">
        <v>1</v>
      </c>
      <c r="F67" s="17">
        <v>2</v>
      </c>
      <c r="G67" s="16" t="s">
        <v>70</v>
      </c>
      <c r="H67" s="15" t="str">
        <f t="shared" si="1"/>
        <v>A</v>
      </c>
    </row>
    <row r="68" spans="1:10" ht="14.25" customHeight="1" x14ac:dyDescent="0.35">
      <c r="A68" s="15">
        <v>60</v>
      </c>
      <c r="B68" s="15" t="s">
        <v>72</v>
      </c>
      <c r="C68" s="15" t="s">
        <v>67</v>
      </c>
      <c r="D68" s="16" t="s">
        <v>71</v>
      </c>
      <c r="E68" s="17">
        <v>0</v>
      </c>
      <c r="F68" s="17">
        <v>4</v>
      </c>
      <c r="G68" s="16" t="s">
        <v>68</v>
      </c>
      <c r="H68" s="15" t="str">
        <f t="shared" si="1"/>
        <v>A</v>
      </c>
    </row>
    <row r="69" spans="1:10" ht="14.25" customHeight="1" x14ac:dyDescent="0.35">
      <c r="A69" s="15">
        <v>61</v>
      </c>
      <c r="B69" s="15" t="s">
        <v>73</v>
      </c>
      <c r="C69" s="15" t="s">
        <v>74</v>
      </c>
      <c r="D69" s="16" t="s">
        <v>75</v>
      </c>
      <c r="E69" s="17">
        <v>2</v>
      </c>
      <c r="F69" s="17">
        <v>0</v>
      </c>
      <c r="G69" s="16" t="s">
        <v>76</v>
      </c>
      <c r="H69" s="15" t="str">
        <f t="shared" si="1"/>
        <v>H</v>
      </c>
      <c r="J69" s="14">
        <v>0</v>
      </c>
    </row>
    <row r="70" spans="1:10" ht="14.25" customHeight="1" x14ac:dyDescent="0.35">
      <c r="A70" s="15">
        <v>62</v>
      </c>
      <c r="B70" s="15" t="s">
        <v>73</v>
      </c>
      <c r="C70" s="15" t="s">
        <v>74</v>
      </c>
      <c r="D70" s="16" t="s">
        <v>77</v>
      </c>
      <c r="E70" s="17">
        <v>1</v>
      </c>
      <c r="F70" s="17">
        <v>2</v>
      </c>
      <c r="G70" s="16" t="s">
        <v>78</v>
      </c>
      <c r="H70" s="15" t="str">
        <f t="shared" si="1"/>
        <v>A</v>
      </c>
      <c r="J70" s="14">
        <v>1</v>
      </c>
    </row>
    <row r="71" spans="1:10" ht="14.25" customHeight="1" x14ac:dyDescent="0.35">
      <c r="A71" s="15">
        <v>63</v>
      </c>
      <c r="B71" s="15" t="s">
        <v>79</v>
      </c>
      <c r="C71" s="15" t="s">
        <v>74</v>
      </c>
      <c r="D71" s="16" t="s">
        <v>75</v>
      </c>
      <c r="E71" s="17">
        <v>2</v>
      </c>
      <c r="F71" s="17">
        <v>0</v>
      </c>
      <c r="G71" s="16" t="s">
        <v>77</v>
      </c>
      <c r="H71" s="15" t="str">
        <f t="shared" si="1"/>
        <v>H</v>
      </c>
    </row>
    <row r="72" spans="1:10" ht="14.25" customHeight="1" x14ac:dyDescent="0.35">
      <c r="A72" s="15">
        <v>64</v>
      </c>
      <c r="B72" s="15" t="s">
        <v>79</v>
      </c>
      <c r="C72" s="15" t="s">
        <v>74</v>
      </c>
      <c r="D72" s="16" t="s">
        <v>78</v>
      </c>
      <c r="E72" s="17">
        <v>2</v>
      </c>
      <c r="F72" s="17">
        <v>1</v>
      </c>
      <c r="G72" s="16" t="s">
        <v>76</v>
      </c>
      <c r="H72" s="15" t="str">
        <f t="shared" si="1"/>
        <v>H</v>
      </c>
    </row>
    <row r="73" spans="1:10" ht="14.25" customHeight="1" x14ac:dyDescent="0.35">
      <c r="A73" s="15">
        <v>65</v>
      </c>
      <c r="B73" s="15" t="s">
        <v>72</v>
      </c>
      <c r="C73" s="15" t="s">
        <v>74</v>
      </c>
      <c r="D73" s="16" t="s">
        <v>78</v>
      </c>
      <c r="E73" s="17">
        <v>1</v>
      </c>
      <c r="F73" s="17">
        <v>2</v>
      </c>
      <c r="G73" s="16" t="s">
        <v>75</v>
      </c>
      <c r="H73" s="15" t="str">
        <f t="shared" ref="H73:H80" si="2">IF(AND(E73&lt;&gt;"",F73&lt;&gt;""),IF(E73&gt;F73,"H",IF(E73&lt;F73,"A","D")),"")</f>
        <v>A</v>
      </c>
    </row>
    <row r="74" spans="1:10" ht="14.25" customHeight="1" x14ac:dyDescent="0.35">
      <c r="A74" s="15">
        <v>66</v>
      </c>
      <c r="B74" s="15" t="s">
        <v>72</v>
      </c>
      <c r="C74" s="15" t="s">
        <v>74</v>
      </c>
      <c r="D74" s="16" t="s">
        <v>76</v>
      </c>
      <c r="E74" s="17">
        <v>2</v>
      </c>
      <c r="F74" s="17">
        <v>1</v>
      </c>
      <c r="G74" s="16" t="s">
        <v>77</v>
      </c>
      <c r="H74" s="15" t="str">
        <f t="shared" si="2"/>
        <v>H</v>
      </c>
    </row>
    <row r="75" spans="1:10" ht="14.25" customHeight="1" x14ac:dyDescent="0.35">
      <c r="A75" s="15">
        <v>67</v>
      </c>
      <c r="B75" s="15" t="s">
        <v>73</v>
      </c>
      <c r="C75" s="15" t="s">
        <v>80</v>
      </c>
      <c r="D75" s="16" t="s">
        <v>81</v>
      </c>
      <c r="E75" s="17">
        <v>2</v>
      </c>
      <c r="F75" s="17">
        <v>1</v>
      </c>
      <c r="G75" s="16" t="s">
        <v>82</v>
      </c>
      <c r="H75" s="15" t="str">
        <f t="shared" si="2"/>
        <v>H</v>
      </c>
      <c r="J75" s="14">
        <v>1</v>
      </c>
    </row>
    <row r="76" spans="1:10" ht="14.25" customHeight="1" x14ac:dyDescent="0.35">
      <c r="A76" s="15">
        <v>68</v>
      </c>
      <c r="B76" s="15" t="s">
        <v>73</v>
      </c>
      <c r="C76" s="15" t="s">
        <v>80</v>
      </c>
      <c r="D76" s="16" t="s">
        <v>83</v>
      </c>
      <c r="E76" s="17">
        <v>2</v>
      </c>
      <c r="F76" s="17">
        <v>1</v>
      </c>
      <c r="G76" s="16" t="s">
        <v>84</v>
      </c>
      <c r="H76" s="15" t="str">
        <f t="shared" si="2"/>
        <v>H</v>
      </c>
      <c r="J76" s="14">
        <v>1</v>
      </c>
    </row>
    <row r="77" spans="1:10" ht="14.25" customHeight="1" x14ac:dyDescent="0.35">
      <c r="A77" s="15">
        <v>69</v>
      </c>
      <c r="B77" s="15" t="s">
        <v>79</v>
      </c>
      <c r="C77" s="15" t="s">
        <v>80</v>
      </c>
      <c r="D77" s="16" t="s">
        <v>81</v>
      </c>
      <c r="E77" s="17">
        <v>2</v>
      </c>
      <c r="F77" s="17">
        <v>0</v>
      </c>
      <c r="G77" s="16" t="s">
        <v>83</v>
      </c>
      <c r="H77" s="15" t="str">
        <f t="shared" si="2"/>
        <v>H</v>
      </c>
    </row>
    <row r="78" spans="1:10" ht="14.25" customHeight="1" x14ac:dyDescent="0.35">
      <c r="A78" s="15">
        <v>70</v>
      </c>
      <c r="B78" s="15" t="s">
        <v>79</v>
      </c>
      <c r="C78" s="15" t="s">
        <v>80</v>
      </c>
      <c r="D78" s="16" t="s">
        <v>84</v>
      </c>
      <c r="E78" s="17">
        <v>1</v>
      </c>
      <c r="F78" s="17">
        <v>2</v>
      </c>
      <c r="G78" s="16" t="s">
        <v>82</v>
      </c>
      <c r="H78" s="15" t="str">
        <f t="shared" si="2"/>
        <v>A</v>
      </c>
    </row>
    <row r="79" spans="1:10" ht="14.25" customHeight="1" x14ac:dyDescent="0.35">
      <c r="A79" s="15">
        <v>71</v>
      </c>
      <c r="B79" s="15" t="s">
        <v>72</v>
      </c>
      <c r="C79" s="15" t="s">
        <v>80</v>
      </c>
      <c r="D79" s="16" t="s">
        <v>84</v>
      </c>
      <c r="E79" s="17">
        <v>0</v>
      </c>
      <c r="F79" s="17">
        <v>2</v>
      </c>
      <c r="G79" s="16" t="s">
        <v>81</v>
      </c>
      <c r="H79" s="15" t="str">
        <f t="shared" si="2"/>
        <v>A</v>
      </c>
    </row>
    <row r="80" spans="1:10" ht="14.25" customHeight="1" x14ac:dyDescent="0.35">
      <c r="A80" s="15">
        <v>72</v>
      </c>
      <c r="B80" s="15" t="s">
        <v>72</v>
      </c>
      <c r="C80" s="15" t="s">
        <v>80</v>
      </c>
      <c r="D80" s="16" t="s">
        <v>82</v>
      </c>
      <c r="E80" s="17">
        <v>2</v>
      </c>
      <c r="F80" s="17">
        <v>1</v>
      </c>
      <c r="G80" s="16" t="s">
        <v>83</v>
      </c>
      <c r="H80" s="15" t="str">
        <f t="shared" si="2"/>
        <v>H</v>
      </c>
      <c r="J80" s="56"/>
    </row>
    <row r="82" spans="10:10" x14ac:dyDescent="0.35">
      <c r="J82" s="14">
        <f>SUM(J8:J80)</f>
        <v>16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21CF-5A06-45CE-88AF-E2EE21D40885}">
  <sheetPr codeName="Blad6">
    <tabColor rgb="FF93CDDD"/>
  </sheetPr>
  <dimension ref="A5:Q42"/>
  <sheetViews>
    <sheetView topLeftCell="A7" zoomScaleNormal="100" workbookViewId="0">
      <selection activeCell="K22" sqref="K22"/>
    </sheetView>
  </sheetViews>
  <sheetFormatPr defaultColWidth="8.7265625" defaultRowHeight="14.5" x14ac:dyDescent="0.35"/>
  <cols>
    <col min="1" max="1" width="3.26953125" style="14" customWidth="1"/>
    <col min="2" max="2" width="20.6328125" style="14" customWidth="1"/>
    <col min="3" max="3" width="1.7265625" style="14" customWidth="1"/>
    <col min="4" max="4" width="3.26953125" style="14" customWidth="1"/>
    <col min="5" max="5" width="20.6328125" style="14" customWidth="1"/>
    <col min="6" max="6" width="1.7265625" style="14" customWidth="1"/>
    <col min="7" max="7" width="3.26953125" style="14" customWidth="1"/>
    <col min="8" max="8" width="20.6328125" style="14" customWidth="1"/>
    <col min="9" max="9" width="1.7265625" style="14" customWidth="1"/>
    <col min="10" max="10" width="3.26953125" style="14" customWidth="1"/>
    <col min="11" max="11" width="20.6328125" style="14" customWidth="1"/>
    <col min="12" max="12" width="1.7265625" style="14" customWidth="1"/>
    <col min="13" max="13" width="3.26953125" style="14" customWidth="1"/>
    <col min="14" max="14" width="20.6328125" style="14" customWidth="1"/>
    <col min="15" max="15" width="1.7265625" style="14" customWidth="1"/>
    <col min="16" max="16" width="3.26953125" style="14" customWidth="1"/>
    <col min="17" max="17" width="20.6328125" style="14" customWidth="1"/>
    <col min="18" max="16384" width="8.7265625" style="14"/>
  </cols>
  <sheetData>
    <row r="5" spans="1:17" ht="14.25" customHeight="1" x14ac:dyDescent="0.35">
      <c r="P5" s="24"/>
    </row>
    <row r="8" spans="1:17" s="23" customFormat="1" ht="15" customHeight="1" x14ac:dyDescent="0.35">
      <c r="A8" s="62" t="s">
        <v>85</v>
      </c>
      <c r="B8" s="62"/>
      <c r="D8" s="62" t="s">
        <v>86</v>
      </c>
      <c r="E8" s="62"/>
      <c r="G8" s="62" t="s">
        <v>87</v>
      </c>
      <c r="H8" s="62"/>
      <c r="J8" s="62" t="s">
        <v>88</v>
      </c>
      <c r="K8" s="62"/>
      <c r="M8" s="62" t="s">
        <v>89</v>
      </c>
      <c r="N8" s="62"/>
      <c r="P8" s="62" t="s">
        <v>90</v>
      </c>
      <c r="Q8" s="62"/>
    </row>
    <row r="9" spans="1:17" ht="14.25" customHeight="1" x14ac:dyDescent="0.35"/>
    <row r="10" spans="1:17" ht="14.25" customHeight="1" x14ac:dyDescent="0.35">
      <c r="A10" s="19">
        <v>1</v>
      </c>
      <c r="B10" s="20" t="s">
        <v>10</v>
      </c>
      <c r="D10" s="19">
        <v>1</v>
      </c>
      <c r="E10" s="20" t="s">
        <v>37</v>
      </c>
      <c r="G10" s="19">
        <v>1</v>
      </c>
      <c r="H10" s="20" t="s">
        <v>37</v>
      </c>
      <c r="J10" s="19">
        <v>1</v>
      </c>
      <c r="K10" s="20" t="s">
        <v>37</v>
      </c>
      <c r="M10" s="19">
        <v>1</v>
      </c>
      <c r="N10" s="20" t="s">
        <v>37</v>
      </c>
      <c r="P10" s="19">
        <v>1</v>
      </c>
      <c r="Q10" s="20" t="s">
        <v>37</v>
      </c>
    </row>
    <row r="11" spans="1:17" ht="14.25" customHeight="1" x14ac:dyDescent="0.35">
      <c r="A11" s="19">
        <f t="shared" ref="A11:A41" si="0">A10+1</f>
        <v>2</v>
      </c>
      <c r="B11" s="20" t="s">
        <v>12</v>
      </c>
      <c r="D11" s="19">
        <f t="shared" ref="D11:D25" si="1">D10+1</f>
        <v>2</v>
      </c>
      <c r="E11" s="20" t="s">
        <v>62</v>
      </c>
      <c r="G11" s="19">
        <f t="shared" ref="G11:G17" si="2">G10+1</f>
        <v>2</v>
      </c>
      <c r="H11" s="20" t="s">
        <v>62</v>
      </c>
      <c r="J11" s="19">
        <f>J10+1</f>
        <v>2</v>
      </c>
      <c r="K11" s="20" t="s">
        <v>62</v>
      </c>
      <c r="M11" s="19">
        <f>M10+1</f>
        <v>2</v>
      </c>
      <c r="N11" s="20" t="s">
        <v>62</v>
      </c>
    </row>
    <row r="12" spans="1:17" ht="14.25" customHeight="1" x14ac:dyDescent="0.35">
      <c r="A12" s="19">
        <f t="shared" si="0"/>
        <v>3</v>
      </c>
      <c r="B12" s="20" t="s">
        <v>18</v>
      </c>
      <c r="D12" s="19">
        <f t="shared" si="1"/>
        <v>3</v>
      </c>
      <c r="E12" s="20" t="s">
        <v>68</v>
      </c>
      <c r="G12" s="19">
        <f t="shared" si="2"/>
        <v>3</v>
      </c>
      <c r="H12" s="20" t="s">
        <v>68</v>
      </c>
      <c r="J12" s="19">
        <f>J11+1</f>
        <v>3</v>
      </c>
      <c r="K12" s="20" t="s">
        <v>81</v>
      </c>
    </row>
    <row r="13" spans="1:17" ht="14.25" customHeight="1" x14ac:dyDescent="0.35">
      <c r="A13" s="19">
        <f t="shared" si="0"/>
        <v>4</v>
      </c>
      <c r="B13" s="20" t="s">
        <v>22</v>
      </c>
      <c r="D13" s="19">
        <f t="shared" si="1"/>
        <v>4</v>
      </c>
      <c r="E13" s="20" t="s">
        <v>81</v>
      </c>
      <c r="G13" s="19">
        <f t="shared" si="2"/>
        <v>4</v>
      </c>
      <c r="H13" s="20" t="s">
        <v>81</v>
      </c>
      <c r="J13" s="19">
        <f>J12+1</f>
        <v>4</v>
      </c>
      <c r="K13" s="20" t="s">
        <v>56</v>
      </c>
    </row>
    <row r="14" spans="1:17" ht="14.25" customHeight="1" x14ac:dyDescent="0.35">
      <c r="A14" s="19">
        <f t="shared" si="0"/>
        <v>5</v>
      </c>
      <c r="B14" s="20" t="s">
        <v>24</v>
      </c>
      <c r="D14" s="19">
        <f t="shared" si="1"/>
        <v>5</v>
      </c>
      <c r="E14" s="20" t="s">
        <v>43</v>
      </c>
      <c r="G14" s="19">
        <f t="shared" si="2"/>
        <v>5</v>
      </c>
      <c r="H14" s="20" t="s">
        <v>24</v>
      </c>
    </row>
    <row r="15" spans="1:17" ht="14.25" customHeight="1" x14ac:dyDescent="0.35">
      <c r="A15" s="19">
        <f t="shared" si="0"/>
        <v>6</v>
      </c>
      <c r="B15" s="20" t="s">
        <v>25</v>
      </c>
      <c r="D15" s="19">
        <f t="shared" si="1"/>
        <v>6</v>
      </c>
      <c r="E15" s="20" t="s">
        <v>24</v>
      </c>
      <c r="G15" s="19">
        <f t="shared" si="2"/>
        <v>6</v>
      </c>
      <c r="H15" s="20" t="s">
        <v>56</v>
      </c>
    </row>
    <row r="16" spans="1:17" ht="14.25" customHeight="1" x14ac:dyDescent="0.35">
      <c r="A16" s="19">
        <f t="shared" si="0"/>
        <v>7</v>
      </c>
      <c r="B16" s="20" t="s">
        <v>30</v>
      </c>
      <c r="D16" s="19">
        <f t="shared" si="1"/>
        <v>7</v>
      </c>
      <c r="E16" s="20" t="s">
        <v>56</v>
      </c>
      <c r="G16" s="19">
        <f t="shared" si="2"/>
        <v>7</v>
      </c>
      <c r="H16" s="20" t="s">
        <v>75</v>
      </c>
    </row>
    <row r="17" spans="1:11" ht="14.25" customHeight="1" x14ac:dyDescent="0.35">
      <c r="A17" s="19">
        <f t="shared" si="0"/>
        <v>8</v>
      </c>
      <c r="B17" s="20" t="s">
        <v>135</v>
      </c>
      <c r="D17" s="19">
        <f t="shared" si="1"/>
        <v>8</v>
      </c>
      <c r="E17" s="20" t="s">
        <v>75</v>
      </c>
      <c r="G17" s="19">
        <f t="shared" si="2"/>
        <v>8</v>
      </c>
      <c r="H17" s="20" t="s">
        <v>59</v>
      </c>
    </row>
    <row r="18" spans="1:11" ht="14.25" customHeight="1" x14ac:dyDescent="0.35">
      <c r="A18" s="19">
        <f t="shared" si="0"/>
        <v>9</v>
      </c>
      <c r="B18" s="20" t="s">
        <v>37</v>
      </c>
      <c r="D18" s="19">
        <f t="shared" si="1"/>
        <v>9</v>
      </c>
      <c r="E18" s="20" t="s">
        <v>30</v>
      </c>
    </row>
    <row r="19" spans="1:11" ht="14.25" customHeight="1" x14ac:dyDescent="0.35">
      <c r="A19" s="19">
        <f t="shared" si="0"/>
        <v>10</v>
      </c>
      <c r="B19" s="20" t="s">
        <v>40</v>
      </c>
      <c r="D19" s="19">
        <f t="shared" si="1"/>
        <v>10</v>
      </c>
      <c r="E19" s="20" t="s">
        <v>49</v>
      </c>
    </row>
    <row r="20" spans="1:11" ht="14.25" customHeight="1" x14ac:dyDescent="0.35">
      <c r="A20" s="19">
        <f t="shared" si="0"/>
        <v>11</v>
      </c>
      <c r="B20" s="20" t="s">
        <v>43</v>
      </c>
      <c r="D20" s="19">
        <f t="shared" si="1"/>
        <v>11</v>
      </c>
      <c r="E20" s="20" t="s">
        <v>10</v>
      </c>
      <c r="H20" s="22" t="s">
        <v>110</v>
      </c>
    </row>
    <row r="21" spans="1:11" ht="14.25" customHeight="1" x14ac:dyDescent="0.35">
      <c r="A21" s="19">
        <f t="shared" si="0"/>
        <v>12</v>
      </c>
      <c r="B21" s="20" t="s">
        <v>44</v>
      </c>
      <c r="D21" s="19">
        <f t="shared" si="1"/>
        <v>12</v>
      </c>
      <c r="E21" s="20" t="s">
        <v>25</v>
      </c>
    </row>
    <row r="22" spans="1:11" ht="14.25" customHeight="1" x14ac:dyDescent="0.35">
      <c r="A22" s="19">
        <f t="shared" si="0"/>
        <v>13</v>
      </c>
      <c r="B22" s="20" t="s">
        <v>49</v>
      </c>
      <c r="D22" s="19">
        <f t="shared" si="1"/>
        <v>13</v>
      </c>
      <c r="E22" s="20" t="s">
        <v>59</v>
      </c>
      <c r="H22" s="14" t="s">
        <v>113</v>
      </c>
      <c r="I22" s="14" t="s">
        <v>134</v>
      </c>
      <c r="K22" s="20"/>
    </row>
    <row r="23" spans="1:11" ht="14.25" customHeight="1" x14ac:dyDescent="0.35">
      <c r="A23" s="19">
        <f t="shared" si="0"/>
        <v>14</v>
      </c>
      <c r="B23" s="20" t="s">
        <v>50</v>
      </c>
      <c r="D23" s="19">
        <f t="shared" si="1"/>
        <v>14</v>
      </c>
      <c r="E23" s="20" t="s">
        <v>44</v>
      </c>
      <c r="H23" s="14" t="s">
        <v>116</v>
      </c>
      <c r="I23" s="14" t="s">
        <v>58</v>
      </c>
      <c r="K23" s="20"/>
    </row>
    <row r="24" spans="1:11" ht="14.25" customHeight="1" x14ac:dyDescent="0.35">
      <c r="A24" s="19">
        <f t="shared" si="0"/>
        <v>15</v>
      </c>
      <c r="B24" s="20" t="s">
        <v>56</v>
      </c>
      <c r="D24" s="19">
        <f t="shared" si="1"/>
        <v>15</v>
      </c>
      <c r="E24" s="20" t="s">
        <v>82</v>
      </c>
      <c r="H24" s="14" t="s">
        <v>119</v>
      </c>
      <c r="I24" s="14" t="s">
        <v>133</v>
      </c>
      <c r="K24" s="20"/>
    </row>
    <row r="25" spans="1:11" ht="14.25" customHeight="1" x14ac:dyDescent="0.35">
      <c r="A25" s="19">
        <f t="shared" si="0"/>
        <v>16</v>
      </c>
      <c r="B25" s="20" t="s">
        <v>59</v>
      </c>
      <c r="D25" s="19">
        <f t="shared" si="1"/>
        <v>16</v>
      </c>
      <c r="E25" s="20" t="s">
        <v>78</v>
      </c>
    </row>
    <row r="26" spans="1:11" ht="14.25" customHeight="1" x14ac:dyDescent="0.35">
      <c r="A26" s="19">
        <f t="shared" si="0"/>
        <v>17</v>
      </c>
      <c r="B26" s="20" t="s">
        <v>62</v>
      </c>
      <c r="H26" s="14" t="s">
        <v>122</v>
      </c>
      <c r="I26" s="14">
        <v>274</v>
      </c>
      <c r="K26" s="21"/>
    </row>
    <row r="27" spans="1:11" ht="14.25" customHeight="1" x14ac:dyDescent="0.35">
      <c r="A27" s="19">
        <f t="shared" si="0"/>
        <v>18</v>
      </c>
      <c r="B27" s="20" t="s">
        <v>65</v>
      </c>
      <c r="H27" s="14" t="s">
        <v>124</v>
      </c>
    </row>
    <row r="28" spans="1:11" ht="14.25" customHeight="1" x14ac:dyDescent="0.35">
      <c r="A28" s="19">
        <f t="shared" si="0"/>
        <v>19</v>
      </c>
      <c r="B28" s="20" t="s">
        <v>68</v>
      </c>
    </row>
    <row r="29" spans="1:11" ht="14.25" customHeight="1" x14ac:dyDescent="0.35">
      <c r="A29" s="19">
        <f t="shared" si="0"/>
        <v>20</v>
      </c>
      <c r="B29" s="20" t="s">
        <v>70</v>
      </c>
    </row>
    <row r="30" spans="1:11" ht="14.25" customHeight="1" x14ac:dyDescent="0.35">
      <c r="A30" s="19">
        <f t="shared" si="0"/>
        <v>21</v>
      </c>
      <c r="B30" s="20" t="s">
        <v>75</v>
      </c>
    </row>
    <row r="31" spans="1:11" ht="14.25" customHeight="1" x14ac:dyDescent="0.35">
      <c r="A31" s="19">
        <f t="shared" si="0"/>
        <v>22</v>
      </c>
      <c r="B31" s="20" t="s">
        <v>78</v>
      </c>
    </row>
    <row r="32" spans="1:11" ht="14.25" customHeight="1" x14ac:dyDescent="0.35">
      <c r="A32" s="19">
        <f t="shared" si="0"/>
        <v>23</v>
      </c>
      <c r="B32" s="20" t="s">
        <v>81</v>
      </c>
    </row>
    <row r="33" spans="1:2" ht="14.25" customHeight="1" x14ac:dyDescent="0.35">
      <c r="A33" s="19">
        <f t="shared" si="0"/>
        <v>24</v>
      </c>
      <c r="B33" s="20" t="s">
        <v>82</v>
      </c>
    </row>
    <row r="34" spans="1:2" ht="14.25" customHeight="1" x14ac:dyDescent="0.35">
      <c r="A34" s="19">
        <f t="shared" si="0"/>
        <v>25</v>
      </c>
      <c r="B34" s="20" t="s">
        <v>13</v>
      </c>
    </row>
    <row r="35" spans="1:2" ht="14.25" customHeight="1" x14ac:dyDescent="0.35">
      <c r="A35" s="19">
        <f t="shared" si="0"/>
        <v>26</v>
      </c>
      <c r="B35" s="20" t="s">
        <v>19</v>
      </c>
    </row>
    <row r="36" spans="1:2" ht="14.25" customHeight="1" x14ac:dyDescent="0.35">
      <c r="A36" s="19">
        <f t="shared" si="0"/>
        <v>27</v>
      </c>
      <c r="B36" s="20" t="s">
        <v>27</v>
      </c>
    </row>
    <row r="37" spans="1:2" ht="14.25" customHeight="1" x14ac:dyDescent="0.35">
      <c r="A37" s="19">
        <f t="shared" si="0"/>
        <v>28</v>
      </c>
      <c r="B37" s="20" t="s">
        <v>31</v>
      </c>
    </row>
    <row r="38" spans="1:2" ht="14.25" customHeight="1" x14ac:dyDescent="0.35">
      <c r="A38" s="19">
        <f t="shared" si="0"/>
        <v>29</v>
      </c>
      <c r="B38" s="20" t="s">
        <v>39</v>
      </c>
    </row>
    <row r="39" spans="1:2" ht="14.25" customHeight="1" x14ac:dyDescent="0.35">
      <c r="A39" s="19">
        <f t="shared" si="0"/>
        <v>30</v>
      </c>
      <c r="B39" s="20" t="s">
        <v>132</v>
      </c>
    </row>
    <row r="40" spans="1:2" ht="14.25" customHeight="1" x14ac:dyDescent="0.35">
      <c r="A40" s="19">
        <f t="shared" si="0"/>
        <v>31</v>
      </c>
      <c r="B40" s="20" t="s">
        <v>51</v>
      </c>
    </row>
    <row r="41" spans="1:2" ht="14.25" customHeight="1" x14ac:dyDescent="0.35">
      <c r="A41" s="19">
        <f t="shared" si="0"/>
        <v>32</v>
      </c>
      <c r="B41" s="20" t="s">
        <v>63</v>
      </c>
    </row>
    <row r="42" spans="1:2" ht="14.25" customHeight="1" x14ac:dyDescent="0.35">
      <c r="A42" s="19"/>
    </row>
  </sheetData>
  <mergeCells count="6">
    <mergeCell ref="P8:Q8"/>
    <mergeCell ref="A8:B8"/>
    <mergeCell ref="D8:E8"/>
    <mergeCell ref="G8:H8"/>
    <mergeCell ref="J8:K8"/>
    <mergeCell ref="M8:N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CEAA-9E49-4CB1-BCA6-A6190DD19E23}">
  <sheetPr codeName="Blad7">
    <tabColor theme="8" tint="0.39997558519241921"/>
  </sheetPr>
  <dimension ref="A6:J82"/>
  <sheetViews>
    <sheetView topLeftCell="A67" workbookViewId="0">
      <selection activeCell="K71" sqref="K71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2</v>
      </c>
      <c r="G10" s="3" t="s">
        <v>13</v>
      </c>
      <c r="H10" s="2" t="str">
        <f t="shared" si="0"/>
        <v>A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0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2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2</v>
      </c>
      <c r="F14" s="4">
        <v>1</v>
      </c>
      <c r="G14" s="3" t="s">
        <v>12</v>
      </c>
      <c r="H14" s="2" t="str">
        <f t="shared" si="0"/>
        <v>H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1</v>
      </c>
      <c r="F15" s="4">
        <v>1</v>
      </c>
      <c r="G15" s="3" t="s">
        <v>19</v>
      </c>
      <c r="H15" s="2" t="str">
        <f t="shared" si="0"/>
        <v>D</v>
      </c>
      <c r="J15">
        <v>3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1</v>
      </c>
      <c r="F17" s="4">
        <v>0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2</v>
      </c>
      <c r="F19" s="4">
        <v>1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1</v>
      </c>
      <c r="F21" s="4">
        <v>1</v>
      </c>
      <c r="G21" s="3" t="s">
        <v>25</v>
      </c>
      <c r="H21" s="2" t="str">
        <f t="shared" si="0"/>
        <v>D</v>
      </c>
      <c r="J21">
        <v>3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0</v>
      </c>
      <c r="F23" s="4">
        <v>1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1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1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0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0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2</v>
      </c>
      <c r="F31" s="4">
        <v>2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2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2</v>
      </c>
      <c r="G35" s="3" t="s">
        <v>39</v>
      </c>
      <c r="H35" s="2" t="str">
        <f t="shared" si="0"/>
        <v>D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2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1</v>
      </c>
      <c r="G37" s="3" t="s">
        <v>37</v>
      </c>
      <c r="H37" s="2" t="str">
        <f t="shared" si="0"/>
        <v>D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1</v>
      </c>
      <c r="F38" s="4">
        <v>3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2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2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1</v>
      </c>
      <c r="G43" s="3" t="s">
        <v>45</v>
      </c>
      <c r="H43" s="2" t="str">
        <f t="shared" si="1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3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1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1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1</v>
      </c>
      <c r="F54" s="4">
        <v>1</v>
      </c>
      <c r="G54" s="3" t="s">
        <v>57</v>
      </c>
      <c r="H54" s="2" t="str">
        <f t="shared" si="1"/>
        <v>D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1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2</v>
      </c>
      <c r="G57" s="3" t="s">
        <v>63</v>
      </c>
      <c r="H57" s="2" t="str">
        <f t="shared" si="1"/>
        <v>D</v>
      </c>
      <c r="J57">
        <v>0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4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0</v>
      </c>
      <c r="F60" s="4">
        <v>1</v>
      </c>
      <c r="G60" s="3" t="s">
        <v>63</v>
      </c>
      <c r="H60" s="2" t="str">
        <f t="shared" si="1"/>
        <v>A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1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1</v>
      </c>
      <c r="F65" s="4">
        <v>1</v>
      </c>
      <c r="G65" s="3" t="s">
        <v>70</v>
      </c>
      <c r="H65" s="2" t="str">
        <f t="shared" si="1"/>
        <v>D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1</v>
      </c>
      <c r="F66" s="4">
        <v>2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1</v>
      </c>
      <c r="G67" s="3" t="s">
        <v>70</v>
      </c>
      <c r="H67" s="2" t="str">
        <f t="shared" si="1"/>
        <v>D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2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0</v>
      </c>
      <c r="F70" s="4">
        <v>3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4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1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0</v>
      </c>
      <c r="G74" s="3" t="s">
        <v>77</v>
      </c>
      <c r="H74" s="2" t="str">
        <f t="shared" si="2"/>
        <v>H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1</v>
      </c>
      <c r="F75" s="4">
        <v>0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1</v>
      </c>
      <c r="F76" s="4">
        <v>0</v>
      </c>
      <c r="G76" s="3" t="s">
        <v>84</v>
      </c>
      <c r="H76" s="2" t="str">
        <f t="shared" si="2"/>
        <v>H</v>
      </c>
      <c r="J76">
        <v>3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1</v>
      </c>
      <c r="F79" s="4">
        <v>2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1</v>
      </c>
      <c r="G80" s="3" t="s">
        <v>83</v>
      </c>
      <c r="H80" s="2" t="str">
        <f t="shared" si="2"/>
        <v>D</v>
      </c>
      <c r="J80" s="54"/>
    </row>
    <row r="82" spans="10:10" x14ac:dyDescent="0.35">
      <c r="J82">
        <f>SUM(J8:J80)</f>
        <v>21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57D4-64AB-4EA6-80C7-42FED14DE019}">
  <sheetPr codeName="Blad8">
    <tabColor theme="8" tint="0.39997558519241921"/>
  </sheetPr>
  <dimension ref="A5:Q42"/>
  <sheetViews>
    <sheetView topLeftCell="A9" workbookViewId="0">
      <selection activeCell="K18" sqref="K18"/>
    </sheetView>
  </sheetViews>
  <sheetFormatPr defaultColWidth="8.81640625" defaultRowHeight="14.5" x14ac:dyDescent="0.35"/>
  <cols>
    <col min="1" max="1" width="3.1796875" customWidth="1"/>
    <col min="2" max="2" width="20.6328125" customWidth="1"/>
    <col min="3" max="3" width="1.81640625" customWidth="1"/>
    <col min="4" max="4" width="3.1796875" customWidth="1"/>
    <col min="5" max="5" width="20.6328125" customWidth="1"/>
    <col min="6" max="6" width="1.81640625" customWidth="1"/>
    <col min="7" max="7" width="3.1796875" customWidth="1"/>
    <col min="8" max="8" width="20.6328125" customWidth="1"/>
    <col min="9" max="9" width="1.81640625" customWidth="1"/>
    <col min="10" max="10" width="3.1796875" customWidth="1"/>
    <col min="11" max="11" width="20.6328125" customWidth="1"/>
    <col min="12" max="12" width="1.81640625" customWidth="1"/>
    <col min="13" max="13" width="3.1796875" customWidth="1"/>
    <col min="14" max="14" width="20.6328125" customWidth="1"/>
    <col min="15" max="15" width="1.81640625" customWidth="1"/>
    <col min="16" max="16" width="3.179687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40</v>
      </c>
      <c r="D10" s="10">
        <v>1</v>
      </c>
      <c r="E10" s="11" t="s">
        <v>40</v>
      </c>
      <c r="G10" s="10">
        <v>1</v>
      </c>
      <c r="H10" s="11" t="s">
        <v>92</v>
      </c>
      <c r="J10" s="10">
        <v>1</v>
      </c>
      <c r="K10" s="11" t="s">
        <v>91</v>
      </c>
      <c r="M10" s="10">
        <v>1</v>
      </c>
      <c r="N10" s="11" t="s">
        <v>91</v>
      </c>
      <c r="P10" s="10">
        <v>1</v>
      </c>
      <c r="Q10" s="11" t="s">
        <v>105</v>
      </c>
    </row>
    <row r="11" spans="1:17" s="9" customFormat="1" x14ac:dyDescent="0.35">
      <c r="A11" s="10">
        <f t="shared" ref="A11:A41" si="0">A10+1</f>
        <v>2</v>
      </c>
      <c r="B11" s="11" t="s">
        <v>148</v>
      </c>
      <c r="D11" s="10">
        <f t="shared" ref="D11:D25" si="1">D10+1</f>
        <v>2</v>
      </c>
      <c r="E11" s="11" t="s">
        <v>148</v>
      </c>
      <c r="G11" s="10">
        <f t="shared" ref="G11:G17" si="2">G10+1</f>
        <v>2</v>
      </c>
      <c r="H11" s="11" t="s">
        <v>91</v>
      </c>
      <c r="J11" s="10">
        <f>J10+1</f>
        <v>2</v>
      </c>
      <c r="K11" s="11" t="s">
        <v>101</v>
      </c>
      <c r="M11" s="10">
        <f>M10+1</f>
        <v>2</v>
      </c>
      <c r="N11" s="11" t="s">
        <v>105</v>
      </c>
    </row>
    <row r="12" spans="1:17" s="9" customFormat="1" x14ac:dyDescent="0.35">
      <c r="A12" s="10">
        <f t="shared" si="0"/>
        <v>3</v>
      </c>
      <c r="B12" s="11" t="s">
        <v>147</v>
      </c>
      <c r="D12" s="10">
        <f t="shared" si="1"/>
        <v>3</v>
      </c>
      <c r="E12" s="11" t="s">
        <v>147</v>
      </c>
      <c r="G12" s="10">
        <f t="shared" si="2"/>
        <v>3</v>
      </c>
      <c r="H12" s="11" t="s">
        <v>101</v>
      </c>
      <c r="J12" s="10">
        <f>J11+1</f>
        <v>3</v>
      </c>
      <c r="K12" s="11" t="s">
        <v>144</v>
      </c>
    </row>
    <row r="13" spans="1:17" s="9" customFormat="1" x14ac:dyDescent="0.35">
      <c r="A13" s="10">
        <f t="shared" si="0"/>
        <v>4</v>
      </c>
      <c r="B13" s="11" t="s">
        <v>146</v>
      </c>
      <c r="D13" s="10">
        <f t="shared" si="1"/>
        <v>4</v>
      </c>
      <c r="E13" s="11" t="s">
        <v>146</v>
      </c>
      <c r="G13" s="10">
        <f t="shared" si="2"/>
        <v>4</v>
      </c>
      <c r="H13" s="11" t="s">
        <v>145</v>
      </c>
      <c r="J13" s="10">
        <f>J12+1</f>
        <v>4</v>
      </c>
      <c r="K13" s="11" t="s">
        <v>105</v>
      </c>
    </row>
    <row r="14" spans="1:17" s="9" customFormat="1" x14ac:dyDescent="0.35">
      <c r="A14" s="10">
        <f t="shared" si="0"/>
        <v>5</v>
      </c>
      <c r="B14" s="11" t="s">
        <v>78</v>
      </c>
      <c r="D14" s="10">
        <f t="shared" si="1"/>
        <v>5</v>
      </c>
      <c r="E14" s="11" t="s">
        <v>78</v>
      </c>
      <c r="G14" s="10">
        <f t="shared" si="2"/>
        <v>5</v>
      </c>
      <c r="H14" s="11" t="s">
        <v>144</v>
      </c>
    </row>
    <row r="15" spans="1:17" s="9" customFormat="1" x14ac:dyDescent="0.35">
      <c r="A15" s="10">
        <f t="shared" si="0"/>
        <v>6</v>
      </c>
      <c r="B15" s="11" t="s">
        <v>101</v>
      </c>
      <c r="D15" s="10">
        <f t="shared" si="1"/>
        <v>6</v>
      </c>
      <c r="E15" s="11" t="s">
        <v>101</v>
      </c>
      <c r="G15" s="10">
        <f t="shared" si="2"/>
        <v>6</v>
      </c>
      <c r="H15" s="11" t="s">
        <v>99</v>
      </c>
    </row>
    <row r="16" spans="1:17" s="9" customFormat="1" x14ac:dyDescent="0.35">
      <c r="A16" s="10">
        <f t="shared" si="0"/>
        <v>7</v>
      </c>
      <c r="B16" s="11" t="s">
        <v>145</v>
      </c>
      <c r="D16" s="10">
        <f t="shared" si="1"/>
        <v>7</v>
      </c>
      <c r="E16" s="11" t="s">
        <v>145</v>
      </c>
      <c r="G16" s="10">
        <f t="shared" si="2"/>
        <v>7</v>
      </c>
      <c r="H16" s="11" t="s">
        <v>106</v>
      </c>
    </row>
    <row r="17" spans="1:11" s="9" customFormat="1" x14ac:dyDescent="0.35">
      <c r="A17" s="10">
        <f t="shared" si="0"/>
        <v>8</v>
      </c>
      <c r="B17" s="11" t="s">
        <v>103</v>
      </c>
      <c r="D17" s="10">
        <f t="shared" si="1"/>
        <v>8</v>
      </c>
      <c r="E17" s="11" t="s">
        <v>103</v>
      </c>
      <c r="G17" s="10">
        <f t="shared" si="2"/>
        <v>8</v>
      </c>
      <c r="H17" s="11" t="s">
        <v>105</v>
      </c>
    </row>
    <row r="18" spans="1:11" s="9" customFormat="1" x14ac:dyDescent="0.35">
      <c r="A18" s="10">
        <f t="shared" si="0"/>
        <v>9</v>
      </c>
      <c r="B18" s="11" t="s">
        <v>144</v>
      </c>
      <c r="D18" s="10">
        <f t="shared" si="1"/>
        <v>9</v>
      </c>
      <c r="E18" s="11" t="s">
        <v>144</v>
      </c>
    </row>
    <row r="19" spans="1:11" s="9" customFormat="1" x14ac:dyDescent="0.35">
      <c r="A19" s="10">
        <f t="shared" si="0"/>
        <v>10</v>
      </c>
      <c r="B19" s="11" t="s">
        <v>96</v>
      </c>
      <c r="D19" s="10">
        <f t="shared" si="1"/>
        <v>10</v>
      </c>
      <c r="E19" s="11" t="s">
        <v>96</v>
      </c>
    </row>
    <row r="20" spans="1:11" s="9" customFormat="1" x14ac:dyDescent="0.35">
      <c r="A20" s="10">
        <f t="shared" si="0"/>
        <v>11</v>
      </c>
      <c r="B20" s="11" t="s">
        <v>93</v>
      </c>
      <c r="D20" s="10">
        <f t="shared" si="1"/>
        <v>11</v>
      </c>
      <c r="E20" s="11" t="s">
        <v>93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99</v>
      </c>
      <c r="D21" s="10">
        <f t="shared" si="1"/>
        <v>12</v>
      </c>
      <c r="E21" s="11" t="s">
        <v>99</v>
      </c>
    </row>
    <row r="22" spans="1:11" s="9" customFormat="1" x14ac:dyDescent="0.35">
      <c r="A22" s="10">
        <f t="shared" si="0"/>
        <v>13</v>
      </c>
      <c r="B22" s="11" t="s">
        <v>106</v>
      </c>
      <c r="D22" s="10">
        <f t="shared" si="1"/>
        <v>13</v>
      </c>
      <c r="E22" s="11" t="s">
        <v>106</v>
      </c>
      <c r="H22" s="9" t="s">
        <v>113</v>
      </c>
      <c r="K22" s="11" t="s">
        <v>143</v>
      </c>
    </row>
    <row r="23" spans="1:11" s="9" customFormat="1" x14ac:dyDescent="0.35">
      <c r="A23" s="10">
        <f t="shared" si="0"/>
        <v>14</v>
      </c>
      <c r="B23" s="11" t="s">
        <v>142</v>
      </c>
      <c r="D23" s="10">
        <f t="shared" si="1"/>
        <v>14</v>
      </c>
      <c r="E23" s="11" t="s">
        <v>142</v>
      </c>
      <c r="H23" s="9" t="s">
        <v>116</v>
      </c>
      <c r="K23" s="11" t="s">
        <v>141</v>
      </c>
    </row>
    <row r="24" spans="1:11" s="9" customFormat="1" x14ac:dyDescent="0.35">
      <c r="A24" s="10">
        <f t="shared" si="0"/>
        <v>15</v>
      </c>
      <c r="B24" s="11" t="s">
        <v>131</v>
      </c>
      <c r="D24" s="10">
        <f t="shared" si="1"/>
        <v>15</v>
      </c>
      <c r="E24" s="11" t="s">
        <v>131</v>
      </c>
      <c r="H24" s="9" t="s">
        <v>119</v>
      </c>
      <c r="K24" s="11" t="s">
        <v>140</v>
      </c>
    </row>
    <row r="25" spans="1:11" s="9" customFormat="1" x14ac:dyDescent="0.35">
      <c r="A25" s="10">
        <f t="shared" si="0"/>
        <v>16</v>
      </c>
      <c r="B25" s="11" t="s">
        <v>105</v>
      </c>
      <c r="D25" s="10">
        <f t="shared" si="1"/>
        <v>16</v>
      </c>
      <c r="E25" s="11" t="s">
        <v>105</v>
      </c>
    </row>
    <row r="26" spans="1:11" s="9" customFormat="1" x14ac:dyDescent="0.35">
      <c r="A26" s="10">
        <f t="shared" si="0"/>
        <v>17</v>
      </c>
      <c r="B26" s="11" t="s">
        <v>139</v>
      </c>
      <c r="H26" s="9" t="s">
        <v>122</v>
      </c>
      <c r="K26" s="13">
        <v>254</v>
      </c>
    </row>
    <row r="27" spans="1:11" s="9" customFormat="1" x14ac:dyDescent="0.35">
      <c r="A27" s="10">
        <f t="shared" si="0"/>
        <v>18</v>
      </c>
      <c r="B27" s="11" t="s">
        <v>97</v>
      </c>
      <c r="H27" s="9" t="s">
        <v>124</v>
      </c>
    </row>
    <row r="28" spans="1:11" x14ac:dyDescent="0.35">
      <c r="A28" s="10">
        <f t="shared" si="0"/>
        <v>19</v>
      </c>
      <c r="B28" s="11" t="s">
        <v>98</v>
      </c>
    </row>
    <row r="29" spans="1:11" x14ac:dyDescent="0.35">
      <c r="A29" s="10">
        <f t="shared" si="0"/>
        <v>20</v>
      </c>
      <c r="B29" s="11" t="s">
        <v>138</v>
      </c>
    </row>
    <row r="30" spans="1:11" x14ac:dyDescent="0.35">
      <c r="A30" s="10">
        <f t="shared" si="0"/>
        <v>21</v>
      </c>
      <c r="B30" s="11" t="s">
        <v>112</v>
      </c>
    </row>
    <row r="31" spans="1:11" x14ac:dyDescent="0.35">
      <c r="A31" s="10">
        <f t="shared" si="0"/>
        <v>22</v>
      </c>
      <c r="B31" s="11" t="s">
        <v>127</v>
      </c>
    </row>
    <row r="32" spans="1:11" x14ac:dyDescent="0.35">
      <c r="A32" s="10">
        <f t="shared" si="0"/>
        <v>23</v>
      </c>
      <c r="B32" s="11" t="s">
        <v>109</v>
      </c>
    </row>
    <row r="33" spans="1:2" x14ac:dyDescent="0.35">
      <c r="A33" s="10">
        <f t="shared" si="0"/>
        <v>24</v>
      </c>
      <c r="B33" s="11" t="s">
        <v>128</v>
      </c>
    </row>
    <row r="34" spans="1:2" x14ac:dyDescent="0.35">
      <c r="A34" s="10">
        <f t="shared" si="0"/>
        <v>25</v>
      </c>
      <c r="B34" s="11" t="s">
        <v>94</v>
      </c>
    </row>
    <row r="35" spans="1:2" x14ac:dyDescent="0.35">
      <c r="A35" s="10">
        <f t="shared" si="0"/>
        <v>26</v>
      </c>
      <c r="B35" s="11" t="s">
        <v>121</v>
      </c>
    </row>
    <row r="36" spans="1:2" x14ac:dyDescent="0.35">
      <c r="A36" s="10">
        <f t="shared" si="0"/>
        <v>27</v>
      </c>
      <c r="B36" s="11" t="s">
        <v>137</v>
      </c>
    </row>
    <row r="37" spans="1:2" x14ac:dyDescent="0.35">
      <c r="A37" s="10">
        <f t="shared" si="0"/>
        <v>28</v>
      </c>
      <c r="B37" s="11" t="s">
        <v>123</v>
      </c>
    </row>
    <row r="38" spans="1:2" x14ac:dyDescent="0.35">
      <c r="A38" s="10">
        <f t="shared" si="0"/>
        <v>29</v>
      </c>
      <c r="B38" s="11" t="s">
        <v>130</v>
      </c>
    </row>
    <row r="39" spans="1:2" x14ac:dyDescent="0.35">
      <c r="A39" s="10">
        <f t="shared" si="0"/>
        <v>30</v>
      </c>
      <c r="B39" s="11" t="s">
        <v>30</v>
      </c>
    </row>
    <row r="40" spans="1:2" x14ac:dyDescent="0.35">
      <c r="A40" s="10">
        <f t="shared" si="0"/>
        <v>31</v>
      </c>
      <c r="B40" s="11" t="s">
        <v>136</v>
      </c>
    </row>
    <row r="41" spans="1:2" x14ac:dyDescent="0.35">
      <c r="A41" s="10">
        <f t="shared" si="0"/>
        <v>32</v>
      </c>
      <c r="B41" s="11" t="s">
        <v>107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F7C8-6D9A-47D0-8153-5F388AE12AF6}">
  <sheetPr codeName="Blad9">
    <tabColor rgb="FF93CDDD"/>
  </sheetPr>
  <dimension ref="A6:J82"/>
  <sheetViews>
    <sheetView topLeftCell="A64" zoomScaleNormal="100" workbookViewId="0">
      <selection activeCell="J79" sqref="J79"/>
    </sheetView>
  </sheetViews>
  <sheetFormatPr defaultColWidth="8.6328125" defaultRowHeight="14.5" x14ac:dyDescent="0.35"/>
  <cols>
    <col min="1" max="1" width="5" style="14" customWidth="1"/>
    <col min="2" max="2" width="12" style="14" customWidth="1"/>
    <col min="3" max="3" width="7" style="14" customWidth="1"/>
    <col min="4" max="4" width="20" style="14" customWidth="1"/>
    <col min="5" max="6" width="5" style="14" customWidth="1"/>
    <col min="7" max="7" width="20" style="14" customWidth="1"/>
    <col min="8" max="8" width="5" style="14" hidden="1" customWidth="1"/>
    <col min="9" max="9" width="2.81640625" style="14" customWidth="1"/>
    <col min="10" max="16384" width="8.6328125" style="14"/>
  </cols>
  <sheetData>
    <row r="6" spans="1:10" x14ac:dyDescent="0.35">
      <c r="J6" s="53" t="s">
        <v>342</v>
      </c>
    </row>
    <row r="8" spans="1:10" ht="14.25" customHeight="1" x14ac:dyDescent="0.35">
      <c r="A8" s="26" t="s">
        <v>0</v>
      </c>
      <c r="B8" s="26" t="s">
        <v>1</v>
      </c>
      <c r="C8" s="26" t="s">
        <v>2</v>
      </c>
      <c r="D8" s="26" t="s">
        <v>3</v>
      </c>
      <c r="E8" s="26" t="s">
        <v>4</v>
      </c>
      <c r="F8" s="26" t="s">
        <v>5</v>
      </c>
      <c r="G8" s="26" t="s">
        <v>6</v>
      </c>
      <c r="H8" s="26" t="s">
        <v>7</v>
      </c>
    </row>
    <row r="9" spans="1:10" ht="14.25" customHeight="1" x14ac:dyDescent="0.35">
      <c r="A9" s="15">
        <v>1</v>
      </c>
      <c r="B9" s="15" t="s">
        <v>8</v>
      </c>
      <c r="C9" s="15" t="s">
        <v>9</v>
      </c>
      <c r="D9" s="16" t="s">
        <v>10</v>
      </c>
      <c r="E9" s="17">
        <v>2</v>
      </c>
      <c r="F9" s="17">
        <v>0</v>
      </c>
      <c r="G9" s="16" t="s">
        <v>11</v>
      </c>
      <c r="H9" s="15" t="str">
        <f t="shared" ref="H9:H40" si="0">IF(AND(E9&lt;&gt;"",F9&lt;&gt;""),IF(E9&gt;F9,"H",IF(E9&lt;F9,"A","D")),"")</f>
        <v>H</v>
      </c>
      <c r="J9" s="14">
        <v>3</v>
      </c>
    </row>
    <row r="10" spans="1:10" ht="14.25" customHeight="1" x14ac:dyDescent="0.35">
      <c r="A10" s="15">
        <v>2</v>
      </c>
      <c r="B10" s="15" t="s">
        <v>8</v>
      </c>
      <c r="C10" s="15" t="s">
        <v>9</v>
      </c>
      <c r="D10" s="16" t="s">
        <v>12</v>
      </c>
      <c r="E10" s="17">
        <v>2</v>
      </c>
      <c r="F10" s="17">
        <v>1</v>
      </c>
      <c r="G10" s="16" t="s">
        <v>13</v>
      </c>
      <c r="H10" s="15" t="str">
        <f t="shared" si="0"/>
        <v>H</v>
      </c>
      <c r="J10" s="14">
        <v>3</v>
      </c>
    </row>
    <row r="11" spans="1:10" ht="14.25" customHeight="1" x14ac:dyDescent="0.35">
      <c r="A11" s="15">
        <v>3</v>
      </c>
      <c r="B11" s="15" t="s">
        <v>14</v>
      </c>
      <c r="C11" s="15" t="s">
        <v>9</v>
      </c>
      <c r="D11" s="16" t="s">
        <v>13</v>
      </c>
      <c r="E11" s="17">
        <v>2</v>
      </c>
      <c r="F11" s="17">
        <v>1</v>
      </c>
      <c r="G11" s="16" t="s">
        <v>11</v>
      </c>
      <c r="H11" s="15" t="str">
        <f t="shared" si="0"/>
        <v>H</v>
      </c>
    </row>
    <row r="12" spans="1:10" ht="14.25" customHeight="1" x14ac:dyDescent="0.35">
      <c r="A12" s="15">
        <v>4</v>
      </c>
      <c r="B12" s="15" t="s">
        <v>14</v>
      </c>
      <c r="C12" s="15" t="s">
        <v>9</v>
      </c>
      <c r="D12" s="16" t="s">
        <v>10</v>
      </c>
      <c r="E12" s="17">
        <v>2</v>
      </c>
      <c r="F12" s="17">
        <v>1</v>
      </c>
      <c r="G12" s="16" t="s">
        <v>12</v>
      </c>
      <c r="H12" s="15" t="str">
        <f t="shared" si="0"/>
        <v>H</v>
      </c>
    </row>
    <row r="13" spans="1:10" ht="14.25" customHeight="1" x14ac:dyDescent="0.35">
      <c r="A13" s="15">
        <v>5</v>
      </c>
      <c r="B13" s="15" t="s">
        <v>15</v>
      </c>
      <c r="C13" s="15" t="s">
        <v>9</v>
      </c>
      <c r="D13" s="16" t="s">
        <v>13</v>
      </c>
      <c r="E13" s="17">
        <v>1</v>
      </c>
      <c r="F13" s="17">
        <v>2</v>
      </c>
      <c r="G13" s="16" t="s">
        <v>10</v>
      </c>
      <c r="H13" s="15" t="str">
        <f t="shared" si="0"/>
        <v>A</v>
      </c>
    </row>
    <row r="14" spans="1:10" ht="14.25" customHeight="1" x14ac:dyDescent="0.35">
      <c r="A14" s="15">
        <v>6</v>
      </c>
      <c r="B14" s="15" t="s">
        <v>15</v>
      </c>
      <c r="C14" s="15" t="s">
        <v>9</v>
      </c>
      <c r="D14" s="16" t="s">
        <v>11</v>
      </c>
      <c r="E14" s="17">
        <v>1</v>
      </c>
      <c r="F14" s="17">
        <v>2</v>
      </c>
      <c r="G14" s="16" t="s">
        <v>12</v>
      </c>
      <c r="H14" s="15" t="str">
        <f t="shared" si="0"/>
        <v>A</v>
      </c>
    </row>
    <row r="15" spans="1:10" ht="14.25" customHeight="1" x14ac:dyDescent="0.35">
      <c r="A15" s="15">
        <v>7</v>
      </c>
      <c r="B15" s="15" t="s">
        <v>16</v>
      </c>
      <c r="C15" s="15" t="s">
        <v>17</v>
      </c>
      <c r="D15" s="16" t="s">
        <v>18</v>
      </c>
      <c r="E15" s="17">
        <v>2</v>
      </c>
      <c r="F15" s="17">
        <v>1</v>
      </c>
      <c r="G15" s="16" t="s">
        <v>19</v>
      </c>
      <c r="H15" s="15" t="str">
        <f t="shared" si="0"/>
        <v>H</v>
      </c>
      <c r="J15" s="14">
        <v>0</v>
      </c>
    </row>
    <row r="16" spans="1:10" ht="14.25" customHeight="1" x14ac:dyDescent="0.35">
      <c r="A16" s="15">
        <v>8</v>
      </c>
      <c r="B16" s="15" t="s">
        <v>20</v>
      </c>
      <c r="C16" s="15" t="s">
        <v>17</v>
      </c>
      <c r="D16" s="16" t="s">
        <v>21</v>
      </c>
      <c r="E16" s="17">
        <v>0</v>
      </c>
      <c r="F16" s="17">
        <v>2</v>
      </c>
      <c r="G16" s="16" t="s">
        <v>22</v>
      </c>
      <c r="H16" s="15" t="str">
        <f t="shared" si="0"/>
        <v>A</v>
      </c>
      <c r="J16" s="14">
        <v>0</v>
      </c>
    </row>
    <row r="17" spans="1:10" ht="14.25" customHeight="1" x14ac:dyDescent="0.35">
      <c r="A17" s="15">
        <v>9</v>
      </c>
      <c r="B17" s="15" t="s">
        <v>14</v>
      </c>
      <c r="C17" s="15" t="s">
        <v>17</v>
      </c>
      <c r="D17" s="16" t="s">
        <v>22</v>
      </c>
      <c r="E17" s="17">
        <v>2</v>
      </c>
      <c r="F17" s="17">
        <v>1</v>
      </c>
      <c r="G17" s="16" t="s">
        <v>19</v>
      </c>
      <c r="H17" s="15" t="str">
        <f t="shared" si="0"/>
        <v>H</v>
      </c>
    </row>
    <row r="18" spans="1:10" ht="14.25" customHeight="1" x14ac:dyDescent="0.35">
      <c r="A18" s="15">
        <v>10</v>
      </c>
      <c r="B18" s="15" t="s">
        <v>14</v>
      </c>
      <c r="C18" s="15" t="s">
        <v>17</v>
      </c>
      <c r="D18" s="16" t="s">
        <v>18</v>
      </c>
      <c r="E18" s="17">
        <v>3</v>
      </c>
      <c r="F18" s="17">
        <v>0</v>
      </c>
      <c r="G18" s="16" t="s">
        <v>21</v>
      </c>
      <c r="H18" s="15" t="str">
        <f t="shared" si="0"/>
        <v>H</v>
      </c>
    </row>
    <row r="19" spans="1:10" ht="14.25" customHeight="1" x14ac:dyDescent="0.35">
      <c r="A19" s="15">
        <v>11</v>
      </c>
      <c r="B19" s="15" t="s">
        <v>15</v>
      </c>
      <c r="C19" s="15" t="s">
        <v>17</v>
      </c>
      <c r="D19" s="16" t="s">
        <v>22</v>
      </c>
      <c r="E19" s="17">
        <v>1</v>
      </c>
      <c r="F19" s="17">
        <v>1</v>
      </c>
      <c r="G19" s="16" t="s">
        <v>18</v>
      </c>
      <c r="H19" s="15" t="str">
        <f t="shared" si="0"/>
        <v>D</v>
      </c>
    </row>
    <row r="20" spans="1:10" ht="14.25" customHeight="1" x14ac:dyDescent="0.35">
      <c r="A20" s="15">
        <v>12</v>
      </c>
      <c r="B20" s="15" t="s">
        <v>15</v>
      </c>
      <c r="C20" s="15" t="s">
        <v>17</v>
      </c>
      <c r="D20" s="16" t="s">
        <v>19</v>
      </c>
      <c r="E20" s="17">
        <v>2</v>
      </c>
      <c r="F20" s="17">
        <v>1</v>
      </c>
      <c r="G20" s="16" t="s">
        <v>21</v>
      </c>
      <c r="H20" s="15" t="str">
        <f t="shared" si="0"/>
        <v>H</v>
      </c>
    </row>
    <row r="21" spans="1:10" ht="14.25" customHeight="1" x14ac:dyDescent="0.35">
      <c r="A21" s="15">
        <v>13</v>
      </c>
      <c r="B21" s="15" t="s">
        <v>20</v>
      </c>
      <c r="C21" s="15" t="s">
        <v>23</v>
      </c>
      <c r="D21" s="16" t="s">
        <v>24</v>
      </c>
      <c r="E21" s="17">
        <v>2</v>
      </c>
      <c r="F21" s="17">
        <v>0</v>
      </c>
      <c r="G21" s="16" t="s">
        <v>25</v>
      </c>
      <c r="H21" s="15" t="str">
        <f t="shared" si="0"/>
        <v>H</v>
      </c>
      <c r="J21" s="14">
        <v>0</v>
      </c>
    </row>
    <row r="22" spans="1:10" ht="14.25" customHeight="1" x14ac:dyDescent="0.35">
      <c r="A22" s="15">
        <v>14</v>
      </c>
      <c r="B22" s="15" t="s">
        <v>20</v>
      </c>
      <c r="C22" s="15" t="s">
        <v>23</v>
      </c>
      <c r="D22" s="16" t="s">
        <v>26</v>
      </c>
      <c r="E22" s="17">
        <v>1</v>
      </c>
      <c r="F22" s="17">
        <v>2</v>
      </c>
      <c r="G22" s="16" t="s">
        <v>27</v>
      </c>
      <c r="H22" s="15" t="str">
        <f t="shared" si="0"/>
        <v>A</v>
      </c>
      <c r="J22" s="14">
        <v>1</v>
      </c>
    </row>
    <row r="23" spans="1:10" ht="14.25" customHeight="1" x14ac:dyDescent="0.35">
      <c r="A23" s="15">
        <v>15</v>
      </c>
      <c r="B23" s="15" t="s">
        <v>28</v>
      </c>
      <c r="C23" s="15" t="s">
        <v>23</v>
      </c>
      <c r="D23" s="16" t="s">
        <v>27</v>
      </c>
      <c r="E23" s="17">
        <v>1</v>
      </c>
      <c r="F23" s="17">
        <v>2</v>
      </c>
      <c r="G23" s="16" t="s">
        <v>25</v>
      </c>
      <c r="H23" s="15" t="str">
        <f t="shared" si="0"/>
        <v>A</v>
      </c>
    </row>
    <row r="24" spans="1:10" ht="14.25" customHeight="1" x14ac:dyDescent="0.35">
      <c r="A24" s="15">
        <v>16</v>
      </c>
      <c r="B24" s="15" t="s">
        <v>28</v>
      </c>
      <c r="C24" s="15" t="s">
        <v>23</v>
      </c>
      <c r="D24" s="16" t="s">
        <v>24</v>
      </c>
      <c r="E24" s="17">
        <v>4</v>
      </c>
      <c r="F24" s="17">
        <v>0</v>
      </c>
      <c r="G24" s="16" t="s">
        <v>26</v>
      </c>
      <c r="H24" s="15" t="str">
        <f t="shared" si="0"/>
        <v>H</v>
      </c>
    </row>
    <row r="25" spans="1:10" ht="14.25" customHeight="1" x14ac:dyDescent="0.35">
      <c r="A25" s="15">
        <v>17</v>
      </c>
      <c r="B25" s="15" t="s">
        <v>15</v>
      </c>
      <c r="C25" s="15" t="s">
        <v>23</v>
      </c>
      <c r="D25" s="16" t="s">
        <v>27</v>
      </c>
      <c r="E25" s="17">
        <v>0</v>
      </c>
      <c r="F25" s="17">
        <v>4</v>
      </c>
      <c r="G25" s="16" t="s">
        <v>24</v>
      </c>
      <c r="H25" s="15" t="str">
        <f t="shared" si="0"/>
        <v>A</v>
      </c>
    </row>
    <row r="26" spans="1:10" ht="14.25" customHeight="1" x14ac:dyDescent="0.35">
      <c r="A26" s="15">
        <v>18</v>
      </c>
      <c r="B26" s="15" t="s">
        <v>15</v>
      </c>
      <c r="C26" s="15" t="s">
        <v>23</v>
      </c>
      <c r="D26" s="16" t="s">
        <v>25</v>
      </c>
      <c r="E26" s="17">
        <v>2</v>
      </c>
      <c r="F26" s="17">
        <v>0</v>
      </c>
      <c r="G26" s="16" t="s">
        <v>26</v>
      </c>
      <c r="H26" s="15" t="str">
        <f t="shared" si="0"/>
        <v>H</v>
      </c>
    </row>
    <row r="27" spans="1:10" ht="14.25" customHeight="1" x14ac:dyDescent="0.35">
      <c r="A27" s="15">
        <v>19</v>
      </c>
      <c r="B27" s="15" t="s">
        <v>16</v>
      </c>
      <c r="C27" s="15" t="s">
        <v>29</v>
      </c>
      <c r="D27" s="16" t="s">
        <v>30</v>
      </c>
      <c r="E27" s="17">
        <v>2</v>
      </c>
      <c r="F27" s="17">
        <v>0</v>
      </c>
      <c r="G27" s="16" t="s">
        <v>31</v>
      </c>
      <c r="H27" s="15" t="str">
        <f t="shared" si="0"/>
        <v>H</v>
      </c>
      <c r="J27" s="14">
        <v>1</v>
      </c>
    </row>
    <row r="28" spans="1:10" ht="14.25" customHeight="1" x14ac:dyDescent="0.35">
      <c r="A28" s="15">
        <v>20</v>
      </c>
      <c r="B28" s="15" t="s">
        <v>20</v>
      </c>
      <c r="C28" s="15" t="s">
        <v>29</v>
      </c>
      <c r="D28" s="16" t="s">
        <v>32</v>
      </c>
      <c r="E28" s="17">
        <v>1</v>
      </c>
      <c r="F28" s="17">
        <v>2</v>
      </c>
      <c r="G28" s="16" t="s">
        <v>33</v>
      </c>
      <c r="H28" s="15" t="str">
        <f t="shared" si="0"/>
        <v>A</v>
      </c>
      <c r="J28" s="14">
        <v>0</v>
      </c>
    </row>
    <row r="29" spans="1:10" ht="14.25" customHeight="1" x14ac:dyDescent="0.35">
      <c r="A29" s="15">
        <v>21</v>
      </c>
      <c r="B29" s="15" t="s">
        <v>28</v>
      </c>
      <c r="C29" s="15" t="s">
        <v>29</v>
      </c>
      <c r="D29" s="16" t="s">
        <v>30</v>
      </c>
      <c r="E29" s="17">
        <v>2</v>
      </c>
      <c r="F29" s="17">
        <v>0</v>
      </c>
      <c r="G29" s="16" t="s">
        <v>32</v>
      </c>
      <c r="H29" s="15" t="str">
        <f t="shared" si="0"/>
        <v>H</v>
      </c>
    </row>
    <row r="30" spans="1:10" ht="14.25" customHeight="1" x14ac:dyDescent="0.35">
      <c r="A30" s="15">
        <v>22</v>
      </c>
      <c r="B30" s="15" t="s">
        <v>28</v>
      </c>
      <c r="C30" s="15" t="s">
        <v>29</v>
      </c>
      <c r="D30" s="16" t="s">
        <v>33</v>
      </c>
      <c r="E30" s="17">
        <v>2</v>
      </c>
      <c r="F30" s="17">
        <v>1</v>
      </c>
      <c r="G30" s="16" t="s">
        <v>31</v>
      </c>
      <c r="H30" s="15" t="str">
        <f t="shared" si="0"/>
        <v>H</v>
      </c>
    </row>
    <row r="31" spans="1:10" ht="14.25" customHeight="1" x14ac:dyDescent="0.35">
      <c r="A31" s="15">
        <v>23</v>
      </c>
      <c r="B31" s="15" t="s">
        <v>34</v>
      </c>
      <c r="C31" s="15" t="s">
        <v>29</v>
      </c>
      <c r="D31" s="16" t="s">
        <v>33</v>
      </c>
      <c r="E31" s="17">
        <v>1</v>
      </c>
      <c r="F31" s="17">
        <v>2</v>
      </c>
      <c r="G31" s="16" t="s">
        <v>30</v>
      </c>
      <c r="H31" s="15" t="str">
        <f t="shared" si="0"/>
        <v>A</v>
      </c>
    </row>
    <row r="32" spans="1:10" ht="14.25" customHeight="1" x14ac:dyDescent="0.35">
      <c r="A32" s="15">
        <v>24</v>
      </c>
      <c r="B32" s="15" t="s">
        <v>34</v>
      </c>
      <c r="C32" s="15" t="s">
        <v>29</v>
      </c>
      <c r="D32" s="16" t="s">
        <v>31</v>
      </c>
      <c r="E32" s="17">
        <v>1</v>
      </c>
      <c r="F32" s="17">
        <v>1</v>
      </c>
      <c r="G32" s="16" t="s">
        <v>32</v>
      </c>
      <c r="H32" s="15" t="str">
        <f t="shared" si="0"/>
        <v>D</v>
      </c>
    </row>
    <row r="33" spans="1:10" ht="14.25" customHeight="1" x14ac:dyDescent="0.35">
      <c r="A33" s="15">
        <v>25</v>
      </c>
      <c r="B33" s="15" t="s">
        <v>35</v>
      </c>
      <c r="C33" s="15" t="s">
        <v>36</v>
      </c>
      <c r="D33" s="16" t="s">
        <v>37</v>
      </c>
      <c r="E33" s="17">
        <v>4</v>
      </c>
      <c r="F33" s="17">
        <v>0</v>
      </c>
      <c r="G33" s="16" t="s">
        <v>38</v>
      </c>
      <c r="H33" s="15" t="str">
        <f t="shared" si="0"/>
        <v>H</v>
      </c>
      <c r="J33" s="14">
        <v>1</v>
      </c>
    </row>
    <row r="34" spans="1:10" ht="14.25" customHeight="1" x14ac:dyDescent="0.35">
      <c r="A34" s="15">
        <v>26</v>
      </c>
      <c r="B34" s="15" t="s">
        <v>35</v>
      </c>
      <c r="C34" s="15" t="s">
        <v>36</v>
      </c>
      <c r="D34" s="16" t="s">
        <v>39</v>
      </c>
      <c r="E34" s="17">
        <v>1</v>
      </c>
      <c r="F34" s="17">
        <v>1</v>
      </c>
      <c r="G34" s="16" t="s">
        <v>40</v>
      </c>
      <c r="H34" s="15" t="str">
        <f t="shared" si="0"/>
        <v>D</v>
      </c>
      <c r="J34" s="14">
        <v>0</v>
      </c>
    </row>
    <row r="35" spans="1:10" ht="14.25" customHeight="1" x14ac:dyDescent="0.35">
      <c r="A35" s="15">
        <v>27</v>
      </c>
      <c r="B35" s="15" t="s">
        <v>41</v>
      </c>
      <c r="C35" s="15" t="s">
        <v>36</v>
      </c>
      <c r="D35" s="16" t="s">
        <v>37</v>
      </c>
      <c r="E35" s="17">
        <v>4</v>
      </c>
      <c r="F35" s="17">
        <v>0</v>
      </c>
      <c r="G35" s="16" t="s">
        <v>39</v>
      </c>
      <c r="H35" s="15" t="str">
        <f t="shared" si="0"/>
        <v>H</v>
      </c>
    </row>
    <row r="36" spans="1:10" ht="14.25" customHeight="1" x14ac:dyDescent="0.35">
      <c r="A36" s="15">
        <v>28</v>
      </c>
      <c r="B36" s="15" t="s">
        <v>41</v>
      </c>
      <c r="C36" s="15" t="s">
        <v>36</v>
      </c>
      <c r="D36" s="16" t="s">
        <v>40</v>
      </c>
      <c r="E36" s="17">
        <v>2</v>
      </c>
      <c r="F36" s="17">
        <v>1</v>
      </c>
      <c r="G36" s="16" t="s">
        <v>38</v>
      </c>
      <c r="H36" s="15" t="str">
        <f t="shared" si="0"/>
        <v>H</v>
      </c>
    </row>
    <row r="37" spans="1:10" ht="14.25" customHeight="1" x14ac:dyDescent="0.35">
      <c r="A37" s="15">
        <v>29</v>
      </c>
      <c r="B37" s="15" t="s">
        <v>34</v>
      </c>
      <c r="C37" s="15" t="s">
        <v>36</v>
      </c>
      <c r="D37" s="16" t="s">
        <v>40</v>
      </c>
      <c r="E37" s="17">
        <v>0</v>
      </c>
      <c r="F37" s="17">
        <v>4</v>
      </c>
      <c r="G37" s="16" t="s">
        <v>37</v>
      </c>
      <c r="H37" s="15" t="str">
        <f t="shared" si="0"/>
        <v>A</v>
      </c>
    </row>
    <row r="38" spans="1:10" ht="14.25" customHeight="1" x14ac:dyDescent="0.35">
      <c r="A38" s="15">
        <v>30</v>
      </c>
      <c r="B38" s="15" t="s">
        <v>34</v>
      </c>
      <c r="C38" s="15" t="s">
        <v>36</v>
      </c>
      <c r="D38" s="16" t="s">
        <v>38</v>
      </c>
      <c r="E38" s="17">
        <v>1</v>
      </c>
      <c r="F38" s="17">
        <v>2</v>
      </c>
      <c r="G38" s="16" t="s">
        <v>39</v>
      </c>
      <c r="H38" s="15" t="str">
        <f t="shared" si="0"/>
        <v>A</v>
      </c>
    </row>
    <row r="39" spans="1:10" ht="14.25" customHeight="1" x14ac:dyDescent="0.35">
      <c r="A39" s="15">
        <v>31</v>
      </c>
      <c r="B39" s="15" t="s">
        <v>35</v>
      </c>
      <c r="C39" s="15" t="s">
        <v>42</v>
      </c>
      <c r="D39" s="16" t="s">
        <v>43</v>
      </c>
      <c r="E39" s="17">
        <v>2</v>
      </c>
      <c r="F39" s="17">
        <v>1</v>
      </c>
      <c r="G39" s="16" t="s">
        <v>44</v>
      </c>
      <c r="H39" s="15" t="str">
        <f t="shared" si="0"/>
        <v>H</v>
      </c>
    </row>
    <row r="40" spans="1:10" ht="14.25" customHeight="1" x14ac:dyDescent="0.35">
      <c r="A40" s="15">
        <v>32</v>
      </c>
      <c r="B40" s="15" t="s">
        <v>35</v>
      </c>
      <c r="C40" s="15" t="s">
        <v>42</v>
      </c>
      <c r="D40" s="16" t="s">
        <v>45</v>
      </c>
      <c r="E40" s="17">
        <v>1</v>
      </c>
      <c r="F40" s="17">
        <v>1</v>
      </c>
      <c r="G40" s="16" t="s">
        <v>46</v>
      </c>
      <c r="H40" s="15" t="str">
        <f t="shared" si="0"/>
        <v>D</v>
      </c>
      <c r="J40" s="14">
        <v>0</v>
      </c>
    </row>
    <row r="41" spans="1:10" ht="14.25" customHeight="1" x14ac:dyDescent="0.35">
      <c r="A41" s="15">
        <v>33</v>
      </c>
      <c r="B41" s="15" t="s">
        <v>41</v>
      </c>
      <c r="C41" s="15" t="s">
        <v>42</v>
      </c>
      <c r="D41" s="16" t="s">
        <v>43</v>
      </c>
      <c r="E41" s="17">
        <v>2</v>
      </c>
      <c r="F41" s="17">
        <v>0</v>
      </c>
      <c r="G41" s="16" t="s">
        <v>45</v>
      </c>
      <c r="H41" s="15" t="str">
        <f t="shared" ref="H41:H72" si="1">IF(AND(E41&lt;&gt;"",F41&lt;&gt;""),IF(E41&gt;F41,"H",IF(E41&lt;F41,"A","D")),"")</f>
        <v>H</v>
      </c>
      <c r="J41" s="14">
        <v>0</v>
      </c>
    </row>
    <row r="42" spans="1:10" ht="14.25" customHeight="1" x14ac:dyDescent="0.35">
      <c r="A42" s="15">
        <v>34</v>
      </c>
      <c r="B42" s="15" t="s">
        <v>41</v>
      </c>
      <c r="C42" s="15" t="s">
        <v>42</v>
      </c>
      <c r="D42" s="16" t="s">
        <v>46</v>
      </c>
      <c r="E42" s="17">
        <v>1</v>
      </c>
      <c r="F42" s="17">
        <v>2</v>
      </c>
      <c r="G42" s="16" t="s">
        <v>44</v>
      </c>
      <c r="H42" s="15" t="str">
        <f t="shared" si="1"/>
        <v>A</v>
      </c>
    </row>
    <row r="43" spans="1:10" ht="14.25" customHeight="1" x14ac:dyDescent="0.35">
      <c r="A43" s="15">
        <v>35</v>
      </c>
      <c r="B43" s="15" t="s">
        <v>34</v>
      </c>
      <c r="C43" s="15" t="s">
        <v>42</v>
      </c>
      <c r="D43" s="16" t="s">
        <v>44</v>
      </c>
      <c r="E43" s="17">
        <v>2</v>
      </c>
      <c r="F43" s="17">
        <v>1</v>
      </c>
      <c r="G43" s="16" t="s">
        <v>45</v>
      </c>
      <c r="H43" s="15" t="str">
        <f t="shared" si="1"/>
        <v>H</v>
      </c>
    </row>
    <row r="44" spans="1:10" ht="14.25" customHeight="1" x14ac:dyDescent="0.35">
      <c r="A44" s="15">
        <v>36</v>
      </c>
      <c r="B44" s="15" t="s">
        <v>34</v>
      </c>
      <c r="C44" s="15" t="s">
        <v>42</v>
      </c>
      <c r="D44" s="16" t="s">
        <v>46</v>
      </c>
      <c r="E44" s="17">
        <v>0</v>
      </c>
      <c r="F44" s="17">
        <v>2</v>
      </c>
      <c r="G44" s="16" t="s">
        <v>43</v>
      </c>
      <c r="H44" s="15" t="str">
        <f t="shared" si="1"/>
        <v>A</v>
      </c>
    </row>
    <row r="45" spans="1:10" ht="14.25" customHeight="1" x14ac:dyDescent="0.35">
      <c r="A45" s="15">
        <v>37</v>
      </c>
      <c r="B45" s="15" t="s">
        <v>47</v>
      </c>
      <c r="C45" s="15" t="s">
        <v>48</v>
      </c>
      <c r="D45" s="16" t="s">
        <v>49</v>
      </c>
      <c r="E45" s="17">
        <v>2</v>
      </c>
      <c r="F45" s="17">
        <v>0</v>
      </c>
      <c r="G45" s="16" t="s">
        <v>50</v>
      </c>
      <c r="H45" s="15" t="str">
        <f t="shared" si="1"/>
        <v>H</v>
      </c>
      <c r="J45" s="14">
        <v>0</v>
      </c>
    </row>
    <row r="46" spans="1:10" ht="14.25" customHeight="1" x14ac:dyDescent="0.35">
      <c r="A46" s="15">
        <v>38</v>
      </c>
      <c r="B46" s="15" t="s">
        <v>47</v>
      </c>
      <c r="C46" s="15" t="s">
        <v>48</v>
      </c>
      <c r="D46" s="16" t="s">
        <v>51</v>
      </c>
      <c r="E46" s="17">
        <v>2</v>
      </c>
      <c r="F46" s="17">
        <v>1</v>
      </c>
      <c r="G46" s="16" t="s">
        <v>52</v>
      </c>
      <c r="H46" s="15" t="str">
        <f t="shared" si="1"/>
        <v>H</v>
      </c>
      <c r="J46" s="14">
        <v>0</v>
      </c>
    </row>
    <row r="47" spans="1:10" ht="14.25" customHeight="1" x14ac:dyDescent="0.35">
      <c r="A47" s="15">
        <v>39</v>
      </c>
      <c r="B47" s="15" t="s">
        <v>53</v>
      </c>
      <c r="C47" s="15" t="s">
        <v>48</v>
      </c>
      <c r="D47" s="16" t="s">
        <v>49</v>
      </c>
      <c r="E47" s="17">
        <v>2</v>
      </c>
      <c r="F47" s="17">
        <v>0</v>
      </c>
      <c r="G47" s="16" t="s">
        <v>51</v>
      </c>
      <c r="H47" s="15" t="str">
        <f t="shared" si="1"/>
        <v>H</v>
      </c>
    </row>
    <row r="48" spans="1:10" ht="14.25" customHeight="1" x14ac:dyDescent="0.35">
      <c r="A48" s="15">
        <v>40</v>
      </c>
      <c r="B48" s="15" t="s">
        <v>53</v>
      </c>
      <c r="C48" s="15" t="s">
        <v>48</v>
      </c>
      <c r="D48" s="16" t="s">
        <v>52</v>
      </c>
      <c r="E48" s="17">
        <v>1</v>
      </c>
      <c r="F48" s="17">
        <v>2</v>
      </c>
      <c r="G48" s="16" t="s">
        <v>50</v>
      </c>
      <c r="H48" s="15" t="str">
        <f t="shared" si="1"/>
        <v>A</v>
      </c>
    </row>
    <row r="49" spans="1:10" ht="14.25" customHeight="1" x14ac:dyDescent="0.35">
      <c r="A49" s="15">
        <v>41</v>
      </c>
      <c r="B49" s="15" t="s">
        <v>54</v>
      </c>
      <c r="C49" s="15" t="s">
        <v>48</v>
      </c>
      <c r="D49" s="16" t="s">
        <v>50</v>
      </c>
      <c r="E49" s="17">
        <v>2</v>
      </c>
      <c r="F49" s="17">
        <v>1</v>
      </c>
      <c r="G49" s="16" t="s">
        <v>51</v>
      </c>
      <c r="H49" s="15" t="str">
        <f t="shared" si="1"/>
        <v>H</v>
      </c>
    </row>
    <row r="50" spans="1:10" ht="14.25" customHeight="1" x14ac:dyDescent="0.35">
      <c r="A50" s="15">
        <v>42</v>
      </c>
      <c r="B50" s="15" t="s">
        <v>54</v>
      </c>
      <c r="C50" s="15" t="s">
        <v>48</v>
      </c>
      <c r="D50" s="16" t="s">
        <v>52</v>
      </c>
      <c r="E50" s="17">
        <v>0</v>
      </c>
      <c r="F50" s="17">
        <v>3</v>
      </c>
      <c r="G50" s="16" t="s">
        <v>49</v>
      </c>
      <c r="H50" s="15" t="str">
        <f t="shared" si="1"/>
        <v>A</v>
      </c>
    </row>
    <row r="51" spans="1:10" ht="14.25" customHeight="1" x14ac:dyDescent="0.35">
      <c r="A51" s="15">
        <v>43</v>
      </c>
      <c r="B51" s="15" t="s">
        <v>47</v>
      </c>
      <c r="C51" s="15" t="s">
        <v>55</v>
      </c>
      <c r="D51" s="16" t="s">
        <v>56</v>
      </c>
      <c r="E51" s="17">
        <v>4</v>
      </c>
      <c r="F51" s="17">
        <v>0</v>
      </c>
      <c r="G51" s="16" t="s">
        <v>57</v>
      </c>
      <c r="H51" s="15" t="str">
        <f t="shared" si="1"/>
        <v>H</v>
      </c>
      <c r="J51" s="14">
        <v>0</v>
      </c>
    </row>
    <row r="52" spans="1:10" ht="14.25" customHeight="1" x14ac:dyDescent="0.35">
      <c r="A52" s="15">
        <v>44</v>
      </c>
      <c r="B52" s="15" t="s">
        <v>47</v>
      </c>
      <c r="C52" s="15" t="s">
        <v>55</v>
      </c>
      <c r="D52" s="16" t="s">
        <v>58</v>
      </c>
      <c r="E52" s="17">
        <v>0</v>
      </c>
      <c r="F52" s="17">
        <v>2</v>
      </c>
      <c r="G52" s="16" t="s">
        <v>59</v>
      </c>
      <c r="H52" s="15" t="str">
        <f t="shared" si="1"/>
        <v>A</v>
      </c>
      <c r="J52" s="14">
        <v>0</v>
      </c>
    </row>
    <row r="53" spans="1:10" ht="14.25" customHeight="1" x14ac:dyDescent="0.35">
      <c r="A53" s="15">
        <v>45</v>
      </c>
      <c r="B53" s="15" t="s">
        <v>53</v>
      </c>
      <c r="C53" s="15" t="s">
        <v>55</v>
      </c>
      <c r="D53" s="16" t="s">
        <v>56</v>
      </c>
      <c r="E53" s="17">
        <v>2</v>
      </c>
      <c r="F53" s="17">
        <v>0</v>
      </c>
      <c r="G53" s="16" t="s">
        <v>58</v>
      </c>
      <c r="H53" s="15" t="str">
        <f t="shared" si="1"/>
        <v>H</v>
      </c>
    </row>
    <row r="54" spans="1:10" ht="14.25" customHeight="1" x14ac:dyDescent="0.35">
      <c r="A54" s="15">
        <v>46</v>
      </c>
      <c r="B54" s="15" t="s">
        <v>53</v>
      </c>
      <c r="C54" s="15" t="s">
        <v>55</v>
      </c>
      <c r="D54" s="16" t="s">
        <v>59</v>
      </c>
      <c r="E54" s="17">
        <v>3</v>
      </c>
      <c r="F54" s="17">
        <v>0</v>
      </c>
      <c r="G54" s="16" t="s">
        <v>57</v>
      </c>
      <c r="H54" s="15" t="str">
        <f t="shared" si="1"/>
        <v>H</v>
      </c>
    </row>
    <row r="55" spans="1:10" ht="14.25" customHeight="1" x14ac:dyDescent="0.35">
      <c r="A55" s="15">
        <v>47</v>
      </c>
      <c r="B55" s="15" t="s">
        <v>54</v>
      </c>
      <c r="C55" s="15" t="s">
        <v>55</v>
      </c>
      <c r="D55" s="16" t="s">
        <v>57</v>
      </c>
      <c r="E55" s="17">
        <v>0</v>
      </c>
      <c r="F55" s="17">
        <v>1</v>
      </c>
      <c r="G55" s="16" t="s">
        <v>58</v>
      </c>
      <c r="H55" s="15" t="str">
        <f t="shared" si="1"/>
        <v>A</v>
      </c>
    </row>
    <row r="56" spans="1:10" ht="14.25" customHeight="1" x14ac:dyDescent="0.35">
      <c r="A56" s="15">
        <v>48</v>
      </c>
      <c r="B56" s="15" t="s">
        <v>54</v>
      </c>
      <c r="C56" s="15" t="s">
        <v>55</v>
      </c>
      <c r="D56" s="16" t="s">
        <v>59</v>
      </c>
      <c r="E56" s="17">
        <v>1</v>
      </c>
      <c r="F56" s="17">
        <v>2</v>
      </c>
      <c r="G56" s="16" t="s">
        <v>56</v>
      </c>
      <c r="H56" s="15" t="str">
        <f t="shared" si="1"/>
        <v>A</v>
      </c>
    </row>
    <row r="57" spans="1:10" ht="14.25" customHeight="1" x14ac:dyDescent="0.35">
      <c r="A57" s="15">
        <v>49</v>
      </c>
      <c r="B57" s="15" t="s">
        <v>60</v>
      </c>
      <c r="C57" s="15" t="s">
        <v>61</v>
      </c>
      <c r="D57" s="16" t="s">
        <v>62</v>
      </c>
      <c r="E57" s="17">
        <v>2</v>
      </c>
      <c r="F57" s="17">
        <v>0</v>
      </c>
      <c r="G57" s="16" t="s">
        <v>63</v>
      </c>
      <c r="H57" s="15" t="str">
        <f t="shared" si="1"/>
        <v>H</v>
      </c>
      <c r="J57" s="14">
        <v>1</v>
      </c>
    </row>
    <row r="58" spans="1:10" ht="14.25" customHeight="1" x14ac:dyDescent="0.35">
      <c r="A58" s="15">
        <v>50</v>
      </c>
      <c r="B58" s="15" t="s">
        <v>60</v>
      </c>
      <c r="C58" s="15" t="s">
        <v>61</v>
      </c>
      <c r="D58" s="16" t="s">
        <v>64</v>
      </c>
      <c r="E58" s="17">
        <v>0</v>
      </c>
      <c r="F58" s="17">
        <v>2</v>
      </c>
      <c r="G58" s="16" t="s">
        <v>65</v>
      </c>
      <c r="H58" s="15" t="str">
        <f t="shared" si="1"/>
        <v>A</v>
      </c>
      <c r="J58" s="14">
        <v>1</v>
      </c>
    </row>
    <row r="59" spans="1:10" ht="14.25" customHeight="1" x14ac:dyDescent="0.35">
      <c r="A59" s="15">
        <v>51</v>
      </c>
      <c r="B59" s="15" t="s">
        <v>66</v>
      </c>
      <c r="C59" s="15" t="s">
        <v>61</v>
      </c>
      <c r="D59" s="16" t="s">
        <v>62</v>
      </c>
      <c r="E59" s="17">
        <v>4</v>
      </c>
      <c r="F59" s="17">
        <v>0</v>
      </c>
      <c r="G59" s="16" t="s">
        <v>64</v>
      </c>
      <c r="H59" s="15" t="str">
        <f t="shared" si="1"/>
        <v>H</v>
      </c>
    </row>
    <row r="60" spans="1:10" ht="14.25" customHeight="1" x14ac:dyDescent="0.35">
      <c r="A60" s="15">
        <v>52</v>
      </c>
      <c r="B60" s="15" t="s">
        <v>66</v>
      </c>
      <c r="C60" s="15" t="s">
        <v>61</v>
      </c>
      <c r="D60" s="16" t="s">
        <v>65</v>
      </c>
      <c r="E60" s="17">
        <v>2</v>
      </c>
      <c r="F60" s="17">
        <v>1</v>
      </c>
      <c r="G60" s="16" t="s">
        <v>63</v>
      </c>
      <c r="H60" s="15" t="str">
        <f t="shared" si="1"/>
        <v>H</v>
      </c>
    </row>
    <row r="61" spans="1:10" ht="14.25" customHeight="1" x14ac:dyDescent="0.35">
      <c r="A61" s="15">
        <v>53</v>
      </c>
      <c r="B61" s="15" t="s">
        <v>54</v>
      </c>
      <c r="C61" s="15" t="s">
        <v>61</v>
      </c>
      <c r="D61" s="16" t="s">
        <v>65</v>
      </c>
      <c r="E61" s="17">
        <v>0</v>
      </c>
      <c r="F61" s="17">
        <v>2</v>
      </c>
      <c r="G61" s="16" t="s">
        <v>62</v>
      </c>
      <c r="H61" s="15" t="str">
        <f t="shared" si="1"/>
        <v>A</v>
      </c>
    </row>
    <row r="62" spans="1:10" ht="14.25" customHeight="1" x14ac:dyDescent="0.35">
      <c r="A62" s="15">
        <v>54</v>
      </c>
      <c r="B62" s="15" t="s">
        <v>54</v>
      </c>
      <c r="C62" s="15" t="s">
        <v>61</v>
      </c>
      <c r="D62" s="16" t="s">
        <v>63</v>
      </c>
      <c r="E62" s="17">
        <v>2</v>
      </c>
      <c r="F62" s="17">
        <v>0</v>
      </c>
      <c r="G62" s="16" t="s">
        <v>64</v>
      </c>
      <c r="H62" s="15" t="str">
        <f t="shared" si="1"/>
        <v>H</v>
      </c>
    </row>
    <row r="63" spans="1:10" ht="14.25" customHeight="1" x14ac:dyDescent="0.35">
      <c r="A63" s="15">
        <v>55</v>
      </c>
      <c r="B63" s="15" t="s">
        <v>60</v>
      </c>
      <c r="C63" s="15" t="s">
        <v>67</v>
      </c>
      <c r="D63" s="16" t="s">
        <v>68</v>
      </c>
      <c r="E63" s="17">
        <v>4</v>
      </c>
      <c r="F63" s="17">
        <v>0</v>
      </c>
      <c r="G63" s="16" t="s">
        <v>69</v>
      </c>
      <c r="H63" s="15" t="str">
        <f t="shared" si="1"/>
        <v>H</v>
      </c>
      <c r="J63" s="14">
        <v>1</v>
      </c>
    </row>
    <row r="64" spans="1:10" ht="14.25" customHeight="1" x14ac:dyDescent="0.35">
      <c r="A64" s="15">
        <v>56</v>
      </c>
      <c r="B64" s="15" t="s">
        <v>60</v>
      </c>
      <c r="C64" s="15" t="s">
        <v>67</v>
      </c>
      <c r="D64" s="16" t="s">
        <v>70</v>
      </c>
      <c r="E64" s="17">
        <v>2</v>
      </c>
      <c r="F64" s="17">
        <v>0</v>
      </c>
      <c r="G64" s="16" t="s">
        <v>71</v>
      </c>
      <c r="H64" s="15" t="str">
        <f t="shared" si="1"/>
        <v>H</v>
      </c>
      <c r="J64" s="14">
        <v>1</v>
      </c>
    </row>
    <row r="65" spans="1:10" ht="14.25" customHeight="1" x14ac:dyDescent="0.35">
      <c r="A65" s="15">
        <v>57</v>
      </c>
      <c r="B65" s="15" t="s">
        <v>66</v>
      </c>
      <c r="C65" s="15" t="s">
        <v>67</v>
      </c>
      <c r="D65" s="16" t="s">
        <v>68</v>
      </c>
      <c r="E65" s="17">
        <v>2</v>
      </c>
      <c r="F65" s="17">
        <v>0</v>
      </c>
      <c r="G65" s="16" t="s">
        <v>70</v>
      </c>
      <c r="H65" s="15" t="str">
        <f t="shared" si="1"/>
        <v>H</v>
      </c>
    </row>
    <row r="66" spans="1:10" ht="14.25" customHeight="1" x14ac:dyDescent="0.35">
      <c r="A66" s="15">
        <v>58</v>
      </c>
      <c r="B66" s="15" t="s">
        <v>66</v>
      </c>
      <c r="C66" s="15" t="s">
        <v>67</v>
      </c>
      <c r="D66" s="16" t="s">
        <v>71</v>
      </c>
      <c r="E66" s="17">
        <v>1</v>
      </c>
      <c r="F66" s="17">
        <v>2</v>
      </c>
      <c r="G66" s="16" t="s">
        <v>69</v>
      </c>
      <c r="H66" s="15" t="str">
        <f t="shared" si="1"/>
        <v>A</v>
      </c>
    </row>
    <row r="67" spans="1:10" ht="14.25" customHeight="1" x14ac:dyDescent="0.35">
      <c r="A67" s="15">
        <v>59</v>
      </c>
      <c r="B67" s="15" t="s">
        <v>72</v>
      </c>
      <c r="C67" s="15" t="s">
        <v>67</v>
      </c>
      <c r="D67" s="16" t="s">
        <v>69</v>
      </c>
      <c r="E67" s="17">
        <v>1</v>
      </c>
      <c r="F67" s="17">
        <v>2</v>
      </c>
      <c r="G67" s="16" t="s">
        <v>70</v>
      </c>
      <c r="H67" s="15" t="str">
        <f t="shared" si="1"/>
        <v>A</v>
      </c>
    </row>
    <row r="68" spans="1:10" ht="14.25" customHeight="1" x14ac:dyDescent="0.35">
      <c r="A68" s="15">
        <v>60</v>
      </c>
      <c r="B68" s="15" t="s">
        <v>72</v>
      </c>
      <c r="C68" s="15" t="s">
        <v>67</v>
      </c>
      <c r="D68" s="16" t="s">
        <v>71</v>
      </c>
      <c r="E68" s="17">
        <v>0</v>
      </c>
      <c r="F68" s="17">
        <v>4</v>
      </c>
      <c r="G68" s="16" t="s">
        <v>68</v>
      </c>
      <c r="H68" s="15" t="str">
        <f t="shared" si="1"/>
        <v>A</v>
      </c>
    </row>
    <row r="69" spans="1:10" ht="14.25" customHeight="1" x14ac:dyDescent="0.35">
      <c r="A69" s="15">
        <v>61</v>
      </c>
      <c r="B69" s="15" t="s">
        <v>73</v>
      </c>
      <c r="C69" s="15" t="s">
        <v>74</v>
      </c>
      <c r="D69" s="16" t="s">
        <v>75</v>
      </c>
      <c r="E69" s="17">
        <v>2</v>
      </c>
      <c r="F69" s="17">
        <v>0</v>
      </c>
      <c r="G69" s="16" t="s">
        <v>76</v>
      </c>
      <c r="H69" s="15" t="str">
        <f t="shared" si="1"/>
        <v>H</v>
      </c>
      <c r="J69" s="14">
        <v>0</v>
      </c>
    </row>
    <row r="70" spans="1:10" ht="14.25" customHeight="1" x14ac:dyDescent="0.35">
      <c r="A70" s="15">
        <v>62</v>
      </c>
      <c r="B70" s="15" t="s">
        <v>73</v>
      </c>
      <c r="C70" s="15" t="s">
        <v>74</v>
      </c>
      <c r="D70" s="16" t="s">
        <v>77</v>
      </c>
      <c r="E70" s="17">
        <v>1</v>
      </c>
      <c r="F70" s="17">
        <v>2</v>
      </c>
      <c r="G70" s="16" t="s">
        <v>78</v>
      </c>
      <c r="H70" s="15" t="str">
        <f t="shared" si="1"/>
        <v>A</v>
      </c>
      <c r="J70" s="14">
        <v>1</v>
      </c>
    </row>
    <row r="71" spans="1:10" ht="14.25" customHeight="1" x14ac:dyDescent="0.35">
      <c r="A71" s="15">
        <v>63</v>
      </c>
      <c r="B71" s="15" t="s">
        <v>79</v>
      </c>
      <c r="C71" s="15" t="s">
        <v>74</v>
      </c>
      <c r="D71" s="16" t="s">
        <v>75</v>
      </c>
      <c r="E71" s="17">
        <v>2</v>
      </c>
      <c r="F71" s="17">
        <v>0</v>
      </c>
      <c r="G71" s="16" t="s">
        <v>77</v>
      </c>
      <c r="H71" s="15" t="str">
        <f t="shared" si="1"/>
        <v>H</v>
      </c>
    </row>
    <row r="72" spans="1:10" ht="14.25" customHeight="1" x14ac:dyDescent="0.35">
      <c r="A72" s="15">
        <v>64</v>
      </c>
      <c r="B72" s="15" t="s">
        <v>79</v>
      </c>
      <c r="C72" s="15" t="s">
        <v>74</v>
      </c>
      <c r="D72" s="16" t="s">
        <v>78</v>
      </c>
      <c r="E72" s="17">
        <v>2</v>
      </c>
      <c r="F72" s="17">
        <v>1</v>
      </c>
      <c r="G72" s="16" t="s">
        <v>76</v>
      </c>
      <c r="H72" s="15" t="str">
        <f t="shared" si="1"/>
        <v>H</v>
      </c>
    </row>
    <row r="73" spans="1:10" ht="14.25" customHeight="1" x14ac:dyDescent="0.35">
      <c r="A73" s="15">
        <v>65</v>
      </c>
      <c r="B73" s="15" t="s">
        <v>72</v>
      </c>
      <c r="C73" s="15" t="s">
        <v>74</v>
      </c>
      <c r="D73" s="16" t="s">
        <v>78</v>
      </c>
      <c r="E73" s="17">
        <v>1</v>
      </c>
      <c r="F73" s="17">
        <v>2</v>
      </c>
      <c r="G73" s="16" t="s">
        <v>75</v>
      </c>
      <c r="H73" s="15" t="str">
        <f t="shared" ref="H73:H80" si="2">IF(AND(E73&lt;&gt;"",F73&lt;&gt;""),IF(E73&gt;F73,"H",IF(E73&lt;F73,"A","D")),"")</f>
        <v>A</v>
      </c>
    </row>
    <row r="74" spans="1:10" ht="14.25" customHeight="1" x14ac:dyDescent="0.35">
      <c r="A74" s="15">
        <v>66</v>
      </c>
      <c r="B74" s="15" t="s">
        <v>72</v>
      </c>
      <c r="C74" s="15" t="s">
        <v>74</v>
      </c>
      <c r="D74" s="16" t="s">
        <v>76</v>
      </c>
      <c r="E74" s="17">
        <v>2</v>
      </c>
      <c r="F74" s="17">
        <v>1</v>
      </c>
      <c r="G74" s="16" t="s">
        <v>77</v>
      </c>
      <c r="H74" s="15" t="str">
        <f t="shared" si="2"/>
        <v>H</v>
      </c>
    </row>
    <row r="75" spans="1:10" ht="14.25" customHeight="1" x14ac:dyDescent="0.35">
      <c r="A75" s="15">
        <v>67</v>
      </c>
      <c r="B75" s="15" t="s">
        <v>73</v>
      </c>
      <c r="C75" s="15" t="s">
        <v>80</v>
      </c>
      <c r="D75" s="16" t="s">
        <v>81</v>
      </c>
      <c r="E75" s="17">
        <v>2</v>
      </c>
      <c r="F75" s="17">
        <v>1</v>
      </c>
      <c r="G75" s="16" t="s">
        <v>82</v>
      </c>
      <c r="H75" s="15" t="str">
        <f t="shared" si="2"/>
        <v>H</v>
      </c>
      <c r="J75" s="14">
        <v>1</v>
      </c>
    </row>
    <row r="76" spans="1:10" ht="14.25" customHeight="1" x14ac:dyDescent="0.35">
      <c r="A76" s="15">
        <v>68</v>
      </c>
      <c r="B76" s="15" t="s">
        <v>73</v>
      </c>
      <c r="C76" s="15" t="s">
        <v>80</v>
      </c>
      <c r="D76" s="16" t="s">
        <v>83</v>
      </c>
      <c r="E76" s="17">
        <v>2</v>
      </c>
      <c r="F76" s="17">
        <v>1</v>
      </c>
      <c r="G76" s="16" t="s">
        <v>84</v>
      </c>
      <c r="H76" s="15" t="str">
        <f t="shared" si="2"/>
        <v>H</v>
      </c>
      <c r="J76" s="14">
        <v>1</v>
      </c>
    </row>
    <row r="77" spans="1:10" ht="14.25" customHeight="1" x14ac:dyDescent="0.35">
      <c r="A77" s="15">
        <v>69</v>
      </c>
      <c r="B77" s="15" t="s">
        <v>79</v>
      </c>
      <c r="C77" s="15" t="s">
        <v>80</v>
      </c>
      <c r="D77" s="16" t="s">
        <v>81</v>
      </c>
      <c r="E77" s="17">
        <v>2</v>
      </c>
      <c r="F77" s="17">
        <v>0</v>
      </c>
      <c r="G77" s="16" t="s">
        <v>83</v>
      </c>
      <c r="H77" s="15" t="str">
        <f t="shared" si="2"/>
        <v>H</v>
      </c>
    </row>
    <row r="78" spans="1:10" ht="14.25" customHeight="1" x14ac:dyDescent="0.35">
      <c r="A78" s="15">
        <v>70</v>
      </c>
      <c r="B78" s="15" t="s">
        <v>79</v>
      </c>
      <c r="C78" s="15" t="s">
        <v>80</v>
      </c>
      <c r="D78" s="16" t="s">
        <v>84</v>
      </c>
      <c r="E78" s="17">
        <v>1</v>
      </c>
      <c r="F78" s="17">
        <v>2</v>
      </c>
      <c r="G78" s="16" t="s">
        <v>82</v>
      </c>
      <c r="H78" s="15" t="str">
        <f t="shared" si="2"/>
        <v>A</v>
      </c>
    </row>
    <row r="79" spans="1:10" ht="14.25" customHeight="1" x14ac:dyDescent="0.35">
      <c r="A79" s="15">
        <v>71</v>
      </c>
      <c r="B79" s="15" t="s">
        <v>72</v>
      </c>
      <c r="C79" s="15" t="s">
        <v>80</v>
      </c>
      <c r="D79" s="16" t="s">
        <v>84</v>
      </c>
      <c r="E79" s="17">
        <v>0</v>
      </c>
      <c r="F79" s="17">
        <v>2</v>
      </c>
      <c r="G79" s="16" t="s">
        <v>81</v>
      </c>
      <c r="H79" s="15" t="str">
        <f t="shared" si="2"/>
        <v>A</v>
      </c>
    </row>
    <row r="80" spans="1:10" ht="14.25" customHeight="1" x14ac:dyDescent="0.35">
      <c r="A80" s="15">
        <v>72</v>
      </c>
      <c r="B80" s="15" t="s">
        <v>72</v>
      </c>
      <c r="C80" s="15" t="s">
        <v>80</v>
      </c>
      <c r="D80" s="16" t="s">
        <v>82</v>
      </c>
      <c r="E80" s="17">
        <v>2</v>
      </c>
      <c r="F80" s="17">
        <v>1</v>
      </c>
      <c r="G80" s="16" t="s">
        <v>83</v>
      </c>
      <c r="H80" s="15" t="str">
        <f t="shared" si="2"/>
        <v>H</v>
      </c>
      <c r="J80" s="56"/>
    </row>
    <row r="82" spans="10:10" x14ac:dyDescent="0.35">
      <c r="J82" s="14">
        <f>SUM(J8:J80)</f>
        <v>16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72AE-BF91-4B22-B379-BF80FA5C81AD}">
  <sheetPr codeName="Blad10">
    <tabColor rgb="FF93CDDD"/>
  </sheetPr>
  <dimension ref="A5:Q42"/>
  <sheetViews>
    <sheetView topLeftCell="A7" zoomScaleNormal="100" workbookViewId="0">
      <selection activeCell="H21" sqref="H21"/>
    </sheetView>
  </sheetViews>
  <sheetFormatPr defaultColWidth="8.6328125" defaultRowHeight="14.5" x14ac:dyDescent="0.35"/>
  <cols>
    <col min="1" max="1" width="3.36328125" style="14" customWidth="1"/>
    <col min="2" max="2" width="20.6328125" style="14" customWidth="1"/>
    <col min="3" max="3" width="1.6328125" style="14" customWidth="1"/>
    <col min="4" max="4" width="3.36328125" style="14" customWidth="1"/>
    <col min="5" max="5" width="20.6328125" style="14" customWidth="1"/>
    <col min="6" max="6" width="1.6328125" style="14" customWidth="1"/>
    <col min="7" max="7" width="3.36328125" style="14" customWidth="1"/>
    <col min="8" max="8" width="20.6328125" style="14" customWidth="1"/>
    <col min="9" max="9" width="1.6328125" style="14" customWidth="1"/>
    <col min="10" max="10" width="3.36328125" style="14" customWidth="1"/>
    <col min="11" max="11" width="20.6328125" style="14" customWidth="1"/>
    <col min="12" max="12" width="1.6328125" style="14" customWidth="1"/>
    <col min="13" max="13" width="3.36328125" style="14" customWidth="1"/>
    <col min="14" max="14" width="20.6328125" style="14" customWidth="1"/>
    <col min="15" max="15" width="1.6328125" style="14" customWidth="1"/>
    <col min="16" max="16" width="3.36328125" style="14" customWidth="1"/>
    <col min="17" max="17" width="20.6328125" style="14" customWidth="1"/>
    <col min="18" max="16384" width="8.6328125" style="14"/>
  </cols>
  <sheetData>
    <row r="5" spans="1:17" ht="14.25" customHeight="1" x14ac:dyDescent="0.35">
      <c r="P5" s="24"/>
    </row>
    <row r="8" spans="1:17" s="23" customFormat="1" ht="15" customHeight="1" x14ac:dyDescent="0.35">
      <c r="A8" s="62" t="s">
        <v>85</v>
      </c>
      <c r="B8" s="62"/>
      <c r="D8" s="62" t="s">
        <v>86</v>
      </c>
      <c r="E8" s="62"/>
      <c r="G8" s="62" t="s">
        <v>87</v>
      </c>
      <c r="H8" s="62"/>
      <c r="J8" s="62" t="s">
        <v>88</v>
      </c>
      <c r="K8" s="62"/>
      <c r="M8" s="62" t="s">
        <v>89</v>
      </c>
      <c r="N8" s="62"/>
      <c r="P8" s="62" t="s">
        <v>90</v>
      </c>
      <c r="Q8" s="62"/>
    </row>
    <row r="9" spans="1:17" ht="14.25" customHeight="1" x14ac:dyDescent="0.35"/>
    <row r="10" spans="1:17" ht="14.25" customHeight="1" x14ac:dyDescent="0.35">
      <c r="A10" s="19">
        <v>1</v>
      </c>
      <c r="B10" s="20" t="s">
        <v>10</v>
      </c>
      <c r="D10" s="19">
        <v>1</v>
      </c>
      <c r="E10" s="20" t="s">
        <v>24</v>
      </c>
      <c r="G10" s="19">
        <v>1</v>
      </c>
      <c r="H10" s="20" t="s">
        <v>24</v>
      </c>
      <c r="J10" s="19">
        <v>1</v>
      </c>
      <c r="K10" s="20" t="s">
        <v>56</v>
      </c>
      <c r="M10" s="19">
        <v>1</v>
      </c>
      <c r="N10" s="20" t="s">
        <v>56</v>
      </c>
      <c r="P10" s="19">
        <v>1</v>
      </c>
      <c r="Q10" s="20" t="s">
        <v>56</v>
      </c>
    </row>
    <row r="11" spans="1:17" ht="14.25" customHeight="1" x14ac:dyDescent="0.35">
      <c r="A11" s="19">
        <f t="shared" ref="A11:A41" si="0">A10+1</f>
        <v>2</v>
      </c>
      <c r="B11" s="20" t="s">
        <v>12</v>
      </c>
      <c r="D11" s="19">
        <f t="shared" ref="D11:D25" si="1">D10+1</f>
        <v>2</v>
      </c>
      <c r="E11" s="20" t="s">
        <v>37</v>
      </c>
      <c r="G11" s="19">
        <f t="shared" ref="G11:G17" si="2">G10+1</f>
        <v>2</v>
      </c>
      <c r="H11" s="20" t="s">
        <v>56</v>
      </c>
      <c r="J11" s="19">
        <f>J10+1</f>
        <v>2</v>
      </c>
      <c r="K11" s="20" t="s">
        <v>62</v>
      </c>
      <c r="M11" s="19">
        <f>M10+1</f>
        <v>2</v>
      </c>
      <c r="N11" s="20" t="s">
        <v>75</v>
      </c>
    </row>
    <row r="12" spans="1:17" ht="14.25" customHeight="1" x14ac:dyDescent="0.35">
      <c r="A12" s="19">
        <f t="shared" si="0"/>
        <v>3</v>
      </c>
      <c r="B12" s="20" t="s">
        <v>18</v>
      </c>
      <c r="D12" s="19">
        <f t="shared" si="1"/>
        <v>3</v>
      </c>
      <c r="E12" s="20" t="s">
        <v>56</v>
      </c>
      <c r="G12" s="19">
        <f t="shared" si="2"/>
        <v>3</v>
      </c>
      <c r="H12" s="20" t="s">
        <v>62</v>
      </c>
      <c r="J12" s="19">
        <f>J11+1</f>
        <v>3</v>
      </c>
      <c r="K12" s="20" t="s">
        <v>75</v>
      </c>
    </row>
    <row r="13" spans="1:17" ht="14.25" customHeight="1" x14ac:dyDescent="0.35">
      <c r="A13" s="19">
        <f t="shared" si="0"/>
        <v>4</v>
      </c>
      <c r="B13" s="20" t="s">
        <v>22</v>
      </c>
      <c r="D13" s="19">
        <f t="shared" si="1"/>
        <v>4</v>
      </c>
      <c r="E13" s="20" t="s">
        <v>62</v>
      </c>
      <c r="G13" s="19">
        <f t="shared" si="2"/>
        <v>4</v>
      </c>
      <c r="H13" s="20" t="s">
        <v>68</v>
      </c>
      <c r="J13" s="19">
        <f>J12+1</f>
        <v>4</v>
      </c>
      <c r="K13" s="20" t="s">
        <v>37</v>
      </c>
    </row>
    <row r="14" spans="1:17" ht="14.25" customHeight="1" x14ac:dyDescent="0.35">
      <c r="A14" s="19">
        <f t="shared" si="0"/>
        <v>5</v>
      </c>
      <c r="B14" s="20" t="s">
        <v>24</v>
      </c>
      <c r="D14" s="19">
        <f t="shared" si="1"/>
        <v>5</v>
      </c>
      <c r="E14" s="20" t="s">
        <v>68</v>
      </c>
      <c r="G14" s="19">
        <f t="shared" si="2"/>
        <v>5</v>
      </c>
      <c r="H14" s="20" t="s">
        <v>75</v>
      </c>
    </row>
    <row r="15" spans="1:17" ht="14.25" customHeight="1" x14ac:dyDescent="0.35">
      <c r="A15" s="19">
        <f t="shared" si="0"/>
        <v>6</v>
      </c>
      <c r="B15" s="20" t="s">
        <v>25</v>
      </c>
      <c r="D15" s="19">
        <f t="shared" si="1"/>
        <v>6</v>
      </c>
      <c r="E15" s="20" t="s">
        <v>75</v>
      </c>
      <c r="G15" s="19">
        <f t="shared" si="2"/>
        <v>6</v>
      </c>
      <c r="H15" s="20" t="s">
        <v>43</v>
      </c>
    </row>
    <row r="16" spans="1:17" ht="14.25" customHeight="1" x14ac:dyDescent="0.35">
      <c r="A16" s="19">
        <f t="shared" si="0"/>
        <v>7</v>
      </c>
      <c r="B16" s="20" t="s">
        <v>30</v>
      </c>
      <c r="D16" s="19">
        <f t="shared" si="1"/>
        <v>7</v>
      </c>
      <c r="E16" s="20" t="s">
        <v>81</v>
      </c>
      <c r="G16" s="19">
        <f t="shared" si="2"/>
        <v>7</v>
      </c>
      <c r="H16" s="20" t="s">
        <v>37</v>
      </c>
    </row>
    <row r="17" spans="1:11" ht="14.25" customHeight="1" x14ac:dyDescent="0.35">
      <c r="A17" s="19">
        <f t="shared" si="0"/>
        <v>8</v>
      </c>
      <c r="B17" s="20" t="s">
        <v>135</v>
      </c>
      <c r="D17" s="19">
        <f t="shared" si="1"/>
        <v>8</v>
      </c>
      <c r="E17" s="20" t="s">
        <v>43</v>
      </c>
      <c r="G17" s="19">
        <f t="shared" si="2"/>
        <v>8</v>
      </c>
      <c r="H17" s="20" t="s">
        <v>81</v>
      </c>
    </row>
    <row r="18" spans="1:11" ht="14.25" customHeight="1" x14ac:dyDescent="0.35">
      <c r="A18" s="19">
        <f t="shared" si="0"/>
        <v>9</v>
      </c>
      <c r="B18" s="20" t="s">
        <v>37</v>
      </c>
      <c r="D18" s="19">
        <f t="shared" si="1"/>
        <v>9</v>
      </c>
      <c r="E18" s="20" t="s">
        <v>10</v>
      </c>
    </row>
    <row r="19" spans="1:11" ht="14.25" customHeight="1" x14ac:dyDescent="0.35">
      <c r="A19" s="19">
        <f t="shared" si="0"/>
        <v>10</v>
      </c>
      <c r="B19" s="20" t="s">
        <v>40</v>
      </c>
      <c r="D19" s="19">
        <f t="shared" si="1"/>
        <v>10</v>
      </c>
      <c r="E19" s="20" t="s">
        <v>30</v>
      </c>
    </row>
    <row r="20" spans="1:11" ht="14.25" customHeight="1" x14ac:dyDescent="0.35">
      <c r="A20" s="19">
        <f t="shared" si="0"/>
        <v>11</v>
      </c>
      <c r="B20" s="20" t="s">
        <v>43</v>
      </c>
      <c r="D20" s="19">
        <f t="shared" si="1"/>
        <v>11</v>
      </c>
      <c r="E20" s="20" t="s">
        <v>49</v>
      </c>
      <c r="H20" s="22" t="s">
        <v>110</v>
      </c>
    </row>
    <row r="21" spans="1:11" ht="14.25" customHeight="1" x14ac:dyDescent="0.35">
      <c r="A21" s="19">
        <f t="shared" si="0"/>
        <v>12</v>
      </c>
      <c r="B21" s="20" t="s">
        <v>44</v>
      </c>
      <c r="D21" s="19">
        <f t="shared" si="1"/>
        <v>12</v>
      </c>
      <c r="E21" s="20" t="s">
        <v>25</v>
      </c>
    </row>
    <row r="22" spans="1:11" ht="14.25" customHeight="1" x14ac:dyDescent="0.35">
      <c r="A22" s="19">
        <f t="shared" si="0"/>
        <v>13</v>
      </c>
      <c r="B22" s="20" t="s">
        <v>49</v>
      </c>
      <c r="D22" s="19">
        <f t="shared" si="1"/>
        <v>13</v>
      </c>
      <c r="E22" s="20" t="s">
        <v>78</v>
      </c>
      <c r="H22" s="14" t="s">
        <v>113</v>
      </c>
      <c r="I22" s="14" t="s">
        <v>149</v>
      </c>
      <c r="K22" s="20"/>
    </row>
    <row r="23" spans="1:11" ht="14.25" customHeight="1" x14ac:dyDescent="0.35">
      <c r="A23" s="19">
        <f t="shared" si="0"/>
        <v>14</v>
      </c>
      <c r="B23" s="20" t="s">
        <v>50</v>
      </c>
      <c r="D23" s="19">
        <f t="shared" si="1"/>
        <v>14</v>
      </c>
      <c r="E23" s="20" t="s">
        <v>65</v>
      </c>
      <c r="H23" s="14" t="s">
        <v>116</v>
      </c>
      <c r="I23" s="14" t="s">
        <v>58</v>
      </c>
      <c r="K23" s="20"/>
    </row>
    <row r="24" spans="1:11" ht="14.25" customHeight="1" x14ac:dyDescent="0.35">
      <c r="A24" s="19">
        <f t="shared" si="0"/>
        <v>15</v>
      </c>
      <c r="B24" s="20" t="s">
        <v>56</v>
      </c>
      <c r="D24" s="19">
        <f t="shared" si="1"/>
        <v>15</v>
      </c>
      <c r="E24" s="20" t="s">
        <v>40</v>
      </c>
      <c r="H24" s="14" t="s">
        <v>119</v>
      </c>
      <c r="I24" s="14" t="s">
        <v>133</v>
      </c>
      <c r="K24" s="20"/>
    </row>
    <row r="25" spans="1:11" ht="14.25" customHeight="1" x14ac:dyDescent="0.35">
      <c r="A25" s="19">
        <f t="shared" si="0"/>
        <v>16</v>
      </c>
      <c r="B25" s="20" t="s">
        <v>59</v>
      </c>
      <c r="D25" s="19">
        <f t="shared" si="1"/>
        <v>16</v>
      </c>
      <c r="E25" s="20" t="s">
        <v>82</v>
      </c>
    </row>
    <row r="26" spans="1:11" ht="14.25" customHeight="1" x14ac:dyDescent="0.35">
      <c r="A26" s="19">
        <f t="shared" si="0"/>
        <v>17</v>
      </c>
      <c r="B26" s="20" t="s">
        <v>62</v>
      </c>
      <c r="H26" s="14" t="s">
        <v>122</v>
      </c>
      <c r="I26" s="14">
        <v>274</v>
      </c>
      <c r="K26" s="21"/>
    </row>
    <row r="27" spans="1:11" ht="14.25" customHeight="1" x14ac:dyDescent="0.35">
      <c r="A27" s="19">
        <f t="shared" si="0"/>
        <v>18</v>
      </c>
      <c r="B27" s="20" t="s">
        <v>65</v>
      </c>
      <c r="H27" s="14" t="s">
        <v>124</v>
      </c>
    </row>
    <row r="28" spans="1:11" ht="14.25" customHeight="1" x14ac:dyDescent="0.35">
      <c r="A28" s="19">
        <f t="shared" si="0"/>
        <v>19</v>
      </c>
      <c r="B28" s="20" t="s">
        <v>68</v>
      </c>
    </row>
    <row r="29" spans="1:11" ht="14.25" customHeight="1" x14ac:dyDescent="0.35">
      <c r="A29" s="19">
        <f t="shared" si="0"/>
        <v>20</v>
      </c>
      <c r="B29" s="20" t="s">
        <v>70</v>
      </c>
    </row>
    <row r="30" spans="1:11" ht="14.25" customHeight="1" x14ac:dyDescent="0.35">
      <c r="A30" s="19">
        <f t="shared" si="0"/>
        <v>21</v>
      </c>
      <c r="B30" s="20" t="s">
        <v>75</v>
      </c>
    </row>
    <row r="31" spans="1:11" ht="14.25" customHeight="1" x14ac:dyDescent="0.35">
      <c r="A31" s="19">
        <f t="shared" si="0"/>
        <v>22</v>
      </c>
      <c r="B31" s="20" t="s">
        <v>78</v>
      </c>
    </row>
    <row r="32" spans="1:11" ht="14.25" customHeight="1" x14ac:dyDescent="0.35">
      <c r="A32" s="19">
        <f t="shared" si="0"/>
        <v>23</v>
      </c>
      <c r="B32" s="20" t="s">
        <v>81</v>
      </c>
    </row>
    <row r="33" spans="1:2" ht="14.25" customHeight="1" x14ac:dyDescent="0.35">
      <c r="A33" s="19">
        <f t="shared" si="0"/>
        <v>24</v>
      </c>
      <c r="B33" s="20" t="s">
        <v>82</v>
      </c>
    </row>
    <row r="34" spans="1:2" ht="14.25" customHeight="1" x14ac:dyDescent="0.35">
      <c r="A34" s="19">
        <f t="shared" si="0"/>
        <v>25</v>
      </c>
      <c r="B34" s="20" t="s">
        <v>13</v>
      </c>
    </row>
    <row r="35" spans="1:2" ht="14.25" customHeight="1" x14ac:dyDescent="0.35">
      <c r="A35" s="19">
        <f t="shared" si="0"/>
        <v>26</v>
      </c>
      <c r="B35" s="20" t="s">
        <v>19</v>
      </c>
    </row>
    <row r="36" spans="1:2" ht="14.25" customHeight="1" x14ac:dyDescent="0.35">
      <c r="A36" s="19">
        <f t="shared" si="0"/>
        <v>27</v>
      </c>
      <c r="B36" s="20" t="s">
        <v>27</v>
      </c>
    </row>
    <row r="37" spans="1:2" ht="14.25" customHeight="1" x14ac:dyDescent="0.35">
      <c r="A37" s="19">
        <f t="shared" si="0"/>
        <v>28</v>
      </c>
      <c r="B37" s="20" t="s">
        <v>31</v>
      </c>
    </row>
    <row r="38" spans="1:2" ht="14.25" customHeight="1" x14ac:dyDescent="0.35">
      <c r="A38" s="19">
        <f t="shared" si="0"/>
        <v>29</v>
      </c>
      <c r="B38" s="20" t="s">
        <v>39</v>
      </c>
    </row>
    <row r="39" spans="1:2" ht="14.25" customHeight="1" x14ac:dyDescent="0.35">
      <c r="A39" s="19">
        <f t="shared" si="0"/>
        <v>30</v>
      </c>
      <c r="B39" s="20" t="s">
        <v>132</v>
      </c>
    </row>
    <row r="40" spans="1:2" ht="14.25" customHeight="1" x14ac:dyDescent="0.35">
      <c r="A40" s="19">
        <f t="shared" si="0"/>
        <v>31</v>
      </c>
      <c r="B40" s="20" t="s">
        <v>51</v>
      </c>
    </row>
    <row r="41" spans="1:2" ht="14.25" customHeight="1" x14ac:dyDescent="0.35">
      <c r="A41" s="19">
        <f t="shared" si="0"/>
        <v>32</v>
      </c>
      <c r="B41" s="20" t="s">
        <v>63</v>
      </c>
    </row>
    <row r="42" spans="1:2" ht="14.25" customHeight="1" x14ac:dyDescent="0.35">
      <c r="A42" s="19"/>
    </row>
  </sheetData>
  <mergeCells count="6">
    <mergeCell ref="P8:Q8"/>
    <mergeCell ref="A8:B8"/>
    <mergeCell ref="D8:E8"/>
    <mergeCell ref="G8:H8"/>
    <mergeCell ref="J8:K8"/>
    <mergeCell ref="M8:N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6E31-9884-4894-8BD2-061E5A4CA31C}">
  <sheetPr codeName="Blad11">
    <tabColor theme="8" tint="0.39997558519241921"/>
  </sheetPr>
  <dimension ref="A6:J82"/>
  <sheetViews>
    <sheetView topLeftCell="A67" workbookViewId="0">
      <selection activeCell="J82" sqref="J82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3</v>
      </c>
      <c r="F9" s="4">
        <v>1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2</v>
      </c>
      <c r="F10" s="4">
        <v>0</v>
      </c>
      <c r="G10" s="3" t="s">
        <v>13</v>
      </c>
      <c r="H10" s="2" t="str">
        <f t="shared" si="0"/>
        <v>H</v>
      </c>
      <c r="J10">
        <v>1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1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1</v>
      </c>
      <c r="G13" s="3" t="s">
        <v>10</v>
      </c>
      <c r="H13" s="2" t="str">
        <f t="shared" si="0"/>
        <v>D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0</v>
      </c>
      <c r="G14" s="3" t="s">
        <v>12</v>
      </c>
      <c r="H14" s="2" t="str">
        <f t="shared" si="0"/>
        <v>H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0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1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1</v>
      </c>
      <c r="F17" s="4">
        <v>1</v>
      </c>
      <c r="G17" s="3" t="s">
        <v>19</v>
      </c>
      <c r="H17" s="2" t="str">
        <f t="shared" si="0"/>
        <v>D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0</v>
      </c>
      <c r="F19" s="4">
        <v>2</v>
      </c>
      <c r="G19" s="3" t="s">
        <v>18</v>
      </c>
      <c r="H19" s="2" t="str">
        <f t="shared" si="0"/>
        <v>A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1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3</v>
      </c>
      <c r="F21" s="4">
        <v>1</v>
      </c>
      <c r="G21" s="3" t="s">
        <v>25</v>
      </c>
      <c r="H21" s="2" t="str">
        <f t="shared" si="0"/>
        <v>H</v>
      </c>
      <c r="J21">
        <v>1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1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0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2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3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0</v>
      </c>
      <c r="G28" s="3" t="s">
        <v>33</v>
      </c>
      <c r="H28" s="2" t="str">
        <f t="shared" si="0"/>
        <v>H</v>
      </c>
      <c r="J28">
        <v>1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1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0</v>
      </c>
      <c r="F32" s="4">
        <v>1</v>
      </c>
      <c r="G32" s="3" t="s">
        <v>32</v>
      </c>
      <c r="H32" s="2" t="str">
        <f t="shared" si="0"/>
        <v>A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2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0</v>
      </c>
      <c r="F34" s="4">
        <v>0</v>
      </c>
      <c r="G34" s="3" t="s">
        <v>40</v>
      </c>
      <c r="H34" s="2" t="str">
        <f t="shared" si="0"/>
        <v>D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1</v>
      </c>
      <c r="F35" s="4">
        <v>1</v>
      </c>
      <c r="G35" s="3" t="s">
        <v>39</v>
      </c>
      <c r="H35" s="2" t="str">
        <f t="shared" si="0"/>
        <v>D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0</v>
      </c>
      <c r="F36" s="4">
        <v>0</v>
      </c>
      <c r="G36" s="3" t="s">
        <v>38</v>
      </c>
      <c r="H36" s="2" t="str">
        <f t="shared" si="0"/>
        <v>D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0</v>
      </c>
      <c r="F37" s="4">
        <v>0</v>
      </c>
      <c r="G37" s="3" t="s">
        <v>37</v>
      </c>
      <c r="H37" s="2" t="str">
        <f t="shared" si="0"/>
        <v>D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0</v>
      </c>
      <c r="F38" s="4">
        <v>1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0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1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2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1</v>
      </c>
      <c r="F44" s="4">
        <v>4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1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0</v>
      </c>
      <c r="F46" s="4">
        <v>2</v>
      </c>
      <c r="G46" s="3" t="s">
        <v>52</v>
      </c>
      <c r="H46" s="2" t="str">
        <f t="shared" si="1"/>
        <v>A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1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0</v>
      </c>
      <c r="G48" s="3" t="s">
        <v>50</v>
      </c>
      <c r="H48" s="2" t="str">
        <f t="shared" si="1"/>
        <v>D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0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1</v>
      </c>
      <c r="F50" s="4">
        <v>1</v>
      </c>
      <c r="G50" s="3" t="s">
        <v>49</v>
      </c>
      <c r="H50" s="2" t="str">
        <f t="shared" si="1"/>
        <v>D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3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0</v>
      </c>
      <c r="F55" s="4">
        <v>1</v>
      </c>
      <c r="G55" s="3" t="s">
        <v>58</v>
      </c>
      <c r="H55" s="2" t="str">
        <f t="shared" si="1"/>
        <v>A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0</v>
      </c>
      <c r="F56" s="4">
        <v>4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1</v>
      </c>
      <c r="F57" s="4">
        <v>0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2</v>
      </c>
      <c r="F59" s="4">
        <v>1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1</v>
      </c>
      <c r="F60" s="4">
        <v>0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1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1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1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0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0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0</v>
      </c>
      <c r="G67" s="3" t="s">
        <v>70</v>
      </c>
      <c r="H67" s="2" t="str">
        <f t="shared" si="1"/>
        <v>H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1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3</v>
      </c>
      <c r="F69" s="4">
        <v>1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0</v>
      </c>
      <c r="G70" s="3" t="s">
        <v>78</v>
      </c>
      <c r="H70" s="2" t="str">
        <f t="shared" si="1"/>
        <v>H</v>
      </c>
      <c r="J70">
        <v>0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4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0</v>
      </c>
      <c r="F72" s="4">
        <v>1</v>
      </c>
      <c r="G72" s="3" t="s">
        <v>76</v>
      </c>
      <c r="H72" s="2" t="str">
        <f t="shared" si="1"/>
        <v>A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0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1</v>
      </c>
      <c r="F75" s="4">
        <v>0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0</v>
      </c>
      <c r="F76" s="4">
        <v>1</v>
      </c>
      <c r="G76" s="3" t="s">
        <v>84</v>
      </c>
      <c r="H76" s="2" t="str">
        <f t="shared" si="2"/>
        <v>A</v>
      </c>
      <c r="J76">
        <v>0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1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3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1</v>
      </c>
      <c r="F79" s="4">
        <v>2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0</v>
      </c>
      <c r="G80" s="3" t="s">
        <v>83</v>
      </c>
      <c r="H80" s="2" t="str">
        <f t="shared" si="2"/>
        <v>H</v>
      </c>
      <c r="J80" s="54"/>
    </row>
    <row r="82" spans="10:10" x14ac:dyDescent="0.35">
      <c r="J82">
        <f>SUM(J8:J80)</f>
        <v>13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E185-FE8B-4B98-9A6B-F0AF9477AC0C}">
  <sheetPr codeName="Blad12">
    <tabColor theme="8" tint="0.39997558519241921"/>
  </sheetPr>
  <dimension ref="A5:Q42"/>
  <sheetViews>
    <sheetView topLeftCell="A12" workbookViewId="0">
      <selection activeCell="H28" sqref="H28"/>
    </sheetView>
  </sheetViews>
  <sheetFormatPr defaultColWidth="8.7265625" defaultRowHeight="14.5" x14ac:dyDescent="0.35"/>
  <cols>
    <col min="1" max="1" width="3.26953125" customWidth="1"/>
    <col min="2" max="2" width="20.54296875" customWidth="1"/>
    <col min="3" max="3" width="1.7265625" customWidth="1"/>
    <col min="4" max="4" width="3.26953125" customWidth="1"/>
    <col min="5" max="5" width="20.54296875" customWidth="1"/>
    <col min="6" max="6" width="1.7265625" customWidth="1"/>
    <col min="7" max="7" width="3.26953125" customWidth="1"/>
    <col min="8" max="8" width="20.54296875" customWidth="1"/>
    <col min="9" max="9" width="1.7265625" customWidth="1"/>
    <col min="10" max="10" width="3.26953125" customWidth="1"/>
    <col min="11" max="11" width="20.54296875" customWidth="1"/>
    <col min="12" max="12" width="1.7265625" customWidth="1"/>
    <col min="13" max="13" width="3.26953125" customWidth="1"/>
    <col min="14" max="14" width="20.54296875" customWidth="1"/>
    <col min="15" max="15" width="1.7265625" customWidth="1"/>
    <col min="16" max="16" width="3.26953125" customWidth="1"/>
    <col min="17" max="17" width="20.5429687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10</v>
      </c>
      <c r="G10" s="10">
        <v>1</v>
      </c>
      <c r="H10" s="11" t="s">
        <v>146</v>
      </c>
      <c r="J10" s="10">
        <v>1</v>
      </c>
      <c r="K10" s="11" t="s">
        <v>146</v>
      </c>
      <c r="M10" s="10">
        <v>1</v>
      </c>
      <c r="N10" s="11" t="s">
        <v>146</v>
      </c>
      <c r="P10" s="10">
        <v>1</v>
      </c>
      <c r="Q10" s="11" t="s">
        <v>146</v>
      </c>
    </row>
    <row r="11" spans="1:17" s="9" customFormat="1" x14ac:dyDescent="0.35">
      <c r="A11" s="10">
        <f t="shared" ref="A11:A41" si="0">A10+1</f>
        <v>2</v>
      </c>
      <c r="B11" s="11" t="s">
        <v>171</v>
      </c>
      <c r="D11" s="10">
        <f t="shared" ref="D11:D25" si="1">D10+1</f>
        <v>2</v>
      </c>
      <c r="E11" s="11" t="s">
        <v>167</v>
      </c>
      <c r="G11" s="10">
        <f t="shared" ref="G11:G17" si="2">G10+1</f>
        <v>2</v>
      </c>
      <c r="H11" s="11" t="s">
        <v>75</v>
      </c>
      <c r="J11" s="10">
        <f>J10+1</f>
        <v>2</v>
      </c>
      <c r="K11" s="11" t="s">
        <v>75</v>
      </c>
      <c r="M11" s="10">
        <f>M10+1</f>
        <v>2</v>
      </c>
      <c r="N11" s="11" t="s">
        <v>157</v>
      </c>
    </row>
    <row r="12" spans="1:17" s="9" customFormat="1" x14ac:dyDescent="0.35">
      <c r="A12" s="10">
        <f t="shared" si="0"/>
        <v>3</v>
      </c>
      <c r="B12" s="11" t="s">
        <v>170</v>
      </c>
      <c r="D12" s="10">
        <f t="shared" si="1"/>
        <v>3</v>
      </c>
      <c r="E12" s="11" t="s">
        <v>30</v>
      </c>
      <c r="G12" s="10">
        <f t="shared" si="2"/>
        <v>3</v>
      </c>
      <c r="H12" s="11" t="s">
        <v>155</v>
      </c>
      <c r="J12" s="10">
        <f>J11+1</f>
        <v>3</v>
      </c>
      <c r="K12" s="11" t="s">
        <v>151</v>
      </c>
    </row>
    <row r="13" spans="1:17" s="9" customFormat="1" x14ac:dyDescent="0.35">
      <c r="A13" s="10">
        <f t="shared" si="0"/>
        <v>4</v>
      </c>
      <c r="B13" s="11" t="s">
        <v>18</v>
      </c>
      <c r="D13" s="10">
        <f t="shared" si="1"/>
        <v>4</v>
      </c>
      <c r="E13" s="11" t="s">
        <v>146</v>
      </c>
      <c r="G13" s="10">
        <f t="shared" si="2"/>
        <v>4</v>
      </c>
      <c r="H13" s="11" t="s">
        <v>157</v>
      </c>
      <c r="J13" s="10">
        <f>J12+1</f>
        <v>4</v>
      </c>
      <c r="K13" s="11" t="s">
        <v>157</v>
      </c>
    </row>
    <row r="14" spans="1:17" s="9" customFormat="1" x14ac:dyDescent="0.35">
      <c r="A14" s="10">
        <f t="shared" si="0"/>
        <v>5</v>
      </c>
      <c r="B14" s="11" t="s">
        <v>169</v>
      </c>
      <c r="D14" s="10">
        <f t="shared" si="1"/>
        <v>5</v>
      </c>
      <c r="E14" s="11" t="s">
        <v>157</v>
      </c>
      <c r="G14" s="10">
        <f t="shared" si="2"/>
        <v>5</v>
      </c>
      <c r="H14" s="11" t="s">
        <v>164</v>
      </c>
    </row>
    <row r="15" spans="1:17" s="9" customFormat="1" x14ac:dyDescent="0.35">
      <c r="A15" s="10">
        <f t="shared" si="0"/>
        <v>6</v>
      </c>
      <c r="B15" s="11" t="s">
        <v>168</v>
      </c>
      <c r="D15" s="10">
        <f t="shared" si="1"/>
        <v>6</v>
      </c>
      <c r="E15" s="11" t="s">
        <v>75</v>
      </c>
      <c r="G15" s="10">
        <f t="shared" si="2"/>
        <v>6</v>
      </c>
      <c r="H15" s="11" t="s">
        <v>165</v>
      </c>
    </row>
    <row r="16" spans="1:17" s="9" customFormat="1" x14ac:dyDescent="0.35">
      <c r="A16" s="10">
        <f t="shared" si="0"/>
        <v>7</v>
      </c>
      <c r="B16" s="11" t="s">
        <v>167</v>
      </c>
      <c r="D16" s="10">
        <f t="shared" si="1"/>
        <v>7</v>
      </c>
      <c r="E16" s="11" t="s">
        <v>160</v>
      </c>
      <c r="G16" s="10">
        <f t="shared" si="2"/>
        <v>7</v>
      </c>
      <c r="H16" s="11" t="s">
        <v>151</v>
      </c>
    </row>
    <row r="17" spans="1:11" s="9" customFormat="1" x14ac:dyDescent="0.35">
      <c r="A17" s="10">
        <f t="shared" si="0"/>
        <v>8</v>
      </c>
      <c r="B17" s="11" t="s">
        <v>162</v>
      </c>
      <c r="D17" s="10">
        <f t="shared" si="1"/>
        <v>8</v>
      </c>
      <c r="E17" s="11" t="s">
        <v>151</v>
      </c>
      <c r="G17" s="10">
        <f t="shared" si="2"/>
        <v>8</v>
      </c>
      <c r="H17" s="11" t="s">
        <v>167</v>
      </c>
    </row>
    <row r="18" spans="1:11" s="9" customFormat="1" x14ac:dyDescent="0.35">
      <c r="A18" s="10">
        <f t="shared" si="0"/>
        <v>9</v>
      </c>
      <c r="B18" s="11" t="s">
        <v>30</v>
      </c>
      <c r="D18" s="10">
        <f t="shared" si="1"/>
        <v>9</v>
      </c>
      <c r="E18" s="11" t="s">
        <v>166</v>
      </c>
    </row>
    <row r="19" spans="1:11" s="9" customFormat="1" x14ac:dyDescent="0.35">
      <c r="A19" s="10">
        <f t="shared" si="0"/>
        <v>10</v>
      </c>
      <c r="B19" s="11" t="s">
        <v>166</v>
      </c>
      <c r="D19" s="10">
        <f t="shared" si="1"/>
        <v>10</v>
      </c>
      <c r="E19" s="11" t="s">
        <v>165</v>
      </c>
    </row>
    <row r="20" spans="1:11" s="9" customFormat="1" x14ac:dyDescent="0.35">
      <c r="A20" s="10">
        <f t="shared" si="0"/>
        <v>11</v>
      </c>
      <c r="B20" s="11" t="s">
        <v>33</v>
      </c>
      <c r="D20" s="10">
        <f t="shared" si="1"/>
        <v>11</v>
      </c>
      <c r="E20" s="11" t="s">
        <v>155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165</v>
      </c>
      <c r="D21" s="10">
        <f t="shared" si="1"/>
        <v>12</v>
      </c>
      <c r="E21" s="11" t="s">
        <v>40</v>
      </c>
    </row>
    <row r="22" spans="1:11" s="9" customFormat="1" x14ac:dyDescent="0.35">
      <c r="A22" s="10">
        <f t="shared" si="0"/>
        <v>13</v>
      </c>
      <c r="B22" s="11" t="s">
        <v>164</v>
      </c>
      <c r="D22" s="10">
        <f t="shared" si="1"/>
        <v>13</v>
      </c>
      <c r="E22" s="11" t="s">
        <v>164</v>
      </c>
      <c r="H22" s="9" t="s">
        <v>113</v>
      </c>
      <c r="K22" s="11" t="s">
        <v>163</v>
      </c>
    </row>
    <row r="23" spans="1:11" s="9" customFormat="1" x14ac:dyDescent="0.35">
      <c r="A23" s="10">
        <f t="shared" si="0"/>
        <v>14</v>
      </c>
      <c r="B23" s="11" t="s">
        <v>40</v>
      </c>
      <c r="D23" s="10">
        <f t="shared" si="1"/>
        <v>14</v>
      </c>
      <c r="E23" s="11" t="s">
        <v>44</v>
      </c>
      <c r="H23" s="9" t="s">
        <v>116</v>
      </c>
      <c r="K23" s="11" t="s">
        <v>162</v>
      </c>
    </row>
    <row r="24" spans="1:11" s="9" customFormat="1" x14ac:dyDescent="0.35">
      <c r="A24" s="10">
        <f t="shared" si="0"/>
        <v>15</v>
      </c>
      <c r="B24" s="11" t="s">
        <v>146</v>
      </c>
      <c r="D24" s="10">
        <f t="shared" si="1"/>
        <v>15</v>
      </c>
      <c r="E24" s="11" t="s">
        <v>156</v>
      </c>
      <c r="H24" s="9" t="s">
        <v>119</v>
      </c>
      <c r="K24" s="11" t="s">
        <v>161</v>
      </c>
    </row>
    <row r="25" spans="1:11" s="9" customFormat="1" x14ac:dyDescent="0.35">
      <c r="A25" s="10">
        <f t="shared" si="0"/>
        <v>16</v>
      </c>
      <c r="B25" s="11" t="s">
        <v>45</v>
      </c>
      <c r="D25" s="10">
        <f t="shared" si="1"/>
        <v>16</v>
      </c>
      <c r="E25" s="11" t="s">
        <v>150</v>
      </c>
    </row>
    <row r="26" spans="1:11" s="9" customFormat="1" x14ac:dyDescent="0.35">
      <c r="A26" s="10">
        <f t="shared" si="0"/>
        <v>17</v>
      </c>
      <c r="B26" s="11" t="s">
        <v>44</v>
      </c>
      <c r="H26" s="9" t="s">
        <v>122</v>
      </c>
      <c r="K26" s="13">
        <v>299</v>
      </c>
    </row>
    <row r="27" spans="1:11" s="9" customFormat="1" x14ac:dyDescent="0.35">
      <c r="A27" s="10">
        <f t="shared" si="0"/>
        <v>18</v>
      </c>
      <c r="B27" s="11" t="s">
        <v>160</v>
      </c>
      <c r="H27" s="9" t="s">
        <v>124</v>
      </c>
    </row>
    <row r="28" spans="1:11" x14ac:dyDescent="0.35">
      <c r="A28" s="10">
        <f t="shared" si="0"/>
        <v>19</v>
      </c>
      <c r="B28" s="11" t="s">
        <v>159</v>
      </c>
    </row>
    <row r="29" spans="1:11" x14ac:dyDescent="0.35">
      <c r="A29" s="10">
        <f t="shared" si="0"/>
        <v>20</v>
      </c>
      <c r="B29" s="11" t="s">
        <v>158</v>
      </c>
    </row>
    <row r="30" spans="1:11" x14ac:dyDescent="0.35">
      <c r="A30" s="10">
        <f t="shared" si="0"/>
        <v>21</v>
      </c>
      <c r="B30" s="11" t="s">
        <v>157</v>
      </c>
    </row>
    <row r="31" spans="1:11" x14ac:dyDescent="0.35">
      <c r="A31" s="10">
        <f t="shared" si="0"/>
        <v>22</v>
      </c>
      <c r="B31" s="11" t="s">
        <v>59</v>
      </c>
    </row>
    <row r="32" spans="1:11" x14ac:dyDescent="0.35">
      <c r="A32" s="10">
        <f t="shared" si="0"/>
        <v>23</v>
      </c>
      <c r="B32" s="11" t="s">
        <v>156</v>
      </c>
    </row>
    <row r="33" spans="1:2" x14ac:dyDescent="0.35">
      <c r="A33" s="10">
        <f t="shared" si="0"/>
        <v>24</v>
      </c>
      <c r="B33" s="11" t="s">
        <v>148</v>
      </c>
    </row>
    <row r="34" spans="1:2" x14ac:dyDescent="0.35">
      <c r="A34" s="10">
        <f t="shared" si="0"/>
        <v>25</v>
      </c>
      <c r="B34" s="11" t="s">
        <v>63</v>
      </c>
    </row>
    <row r="35" spans="1:2" x14ac:dyDescent="0.35">
      <c r="A35" s="10">
        <f t="shared" si="0"/>
        <v>26</v>
      </c>
      <c r="B35" s="11" t="s">
        <v>155</v>
      </c>
    </row>
    <row r="36" spans="1:2" x14ac:dyDescent="0.35">
      <c r="A36" s="10">
        <f t="shared" si="0"/>
        <v>27</v>
      </c>
      <c r="B36" s="11" t="s">
        <v>154</v>
      </c>
    </row>
    <row r="37" spans="1:2" x14ac:dyDescent="0.35">
      <c r="A37" s="10">
        <f t="shared" si="0"/>
        <v>28</v>
      </c>
      <c r="B37" s="11" t="s">
        <v>75</v>
      </c>
    </row>
    <row r="38" spans="1:2" x14ac:dyDescent="0.35">
      <c r="A38" s="10">
        <f t="shared" si="0"/>
        <v>29</v>
      </c>
      <c r="B38" s="11" t="s">
        <v>153</v>
      </c>
    </row>
    <row r="39" spans="1:2" x14ac:dyDescent="0.35">
      <c r="A39" s="10">
        <f t="shared" si="0"/>
        <v>30</v>
      </c>
      <c r="B39" s="11" t="s">
        <v>152</v>
      </c>
    </row>
    <row r="40" spans="1:2" x14ac:dyDescent="0.35">
      <c r="A40" s="10">
        <f t="shared" si="0"/>
        <v>31</v>
      </c>
      <c r="B40" s="11" t="s">
        <v>151</v>
      </c>
    </row>
    <row r="41" spans="1:2" x14ac:dyDescent="0.35">
      <c r="A41" s="10">
        <f t="shared" si="0"/>
        <v>32</v>
      </c>
      <c r="B41" s="11" t="s">
        <v>150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CAAC-ECB4-4ED7-B103-08C8336593DD}">
  <sheetPr codeName="Blad13">
    <tabColor theme="8" tint="0.39997558519241921"/>
  </sheetPr>
  <dimension ref="A6:J82"/>
  <sheetViews>
    <sheetView topLeftCell="A65" workbookViewId="0">
      <selection activeCell="J83" sqref="J83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27">
        <v>2</v>
      </c>
      <c r="F9" s="27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27">
        <v>0</v>
      </c>
      <c r="F10" s="27">
        <v>1</v>
      </c>
      <c r="G10" s="3" t="s">
        <v>13</v>
      </c>
      <c r="H10" s="2" t="str">
        <f t="shared" si="0"/>
        <v>A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27">
        <v>2</v>
      </c>
      <c r="F11" s="27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27">
        <v>2</v>
      </c>
      <c r="F12" s="27">
        <v>1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27">
        <v>1</v>
      </c>
      <c r="F13" s="27">
        <v>1</v>
      </c>
      <c r="G13" s="3" t="s">
        <v>10</v>
      </c>
      <c r="H13" s="2" t="str">
        <f t="shared" si="0"/>
        <v>D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27">
        <v>0</v>
      </c>
      <c r="F14" s="27">
        <v>1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27">
        <v>1</v>
      </c>
      <c r="F15" s="27">
        <v>1</v>
      </c>
      <c r="G15" s="3" t="s">
        <v>19</v>
      </c>
      <c r="H15" s="2" t="str">
        <f t="shared" si="0"/>
        <v>D</v>
      </c>
      <c r="J15">
        <v>3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27">
        <v>0</v>
      </c>
      <c r="F16" s="27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27">
        <v>2</v>
      </c>
      <c r="F17" s="27">
        <v>0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27">
        <v>2</v>
      </c>
      <c r="F18" s="27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27">
        <v>1</v>
      </c>
      <c r="F19" s="27">
        <v>1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27">
        <v>2</v>
      </c>
      <c r="F20" s="27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27">
        <v>3</v>
      </c>
      <c r="F21" s="27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27">
        <v>0</v>
      </c>
      <c r="F22" s="27">
        <v>3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27">
        <v>1</v>
      </c>
      <c r="F23" s="27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27">
        <v>5</v>
      </c>
      <c r="F24" s="27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27">
        <v>0</v>
      </c>
      <c r="F25" s="27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27">
        <v>3</v>
      </c>
      <c r="F26" s="27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27">
        <v>1</v>
      </c>
      <c r="F27" s="27">
        <v>1</v>
      </c>
      <c r="G27" s="3" t="s">
        <v>31</v>
      </c>
      <c r="H27" s="2" t="str">
        <f t="shared" si="0"/>
        <v>D</v>
      </c>
      <c r="J27">
        <v>0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27">
        <v>1</v>
      </c>
      <c r="F28" s="27">
        <v>1</v>
      </c>
      <c r="G28" s="3" t="s">
        <v>33</v>
      </c>
      <c r="H28" s="2" t="str">
        <f t="shared" si="0"/>
        <v>D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27">
        <v>2</v>
      </c>
      <c r="F29" s="27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27">
        <v>2</v>
      </c>
      <c r="F30" s="27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27">
        <v>1</v>
      </c>
      <c r="F31" s="27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27">
        <v>1</v>
      </c>
      <c r="F32" s="27">
        <v>0</v>
      </c>
      <c r="G32" s="3" t="s">
        <v>32</v>
      </c>
      <c r="H32" s="2" t="str">
        <f t="shared" si="0"/>
        <v>H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27">
        <v>3</v>
      </c>
      <c r="F33" s="27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27">
        <v>1</v>
      </c>
      <c r="F34" s="27">
        <v>1</v>
      </c>
      <c r="G34" s="3" t="s">
        <v>40</v>
      </c>
      <c r="H34" s="2" t="str">
        <f t="shared" si="0"/>
        <v>D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27">
        <v>2</v>
      </c>
      <c r="F35" s="27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27">
        <v>2</v>
      </c>
      <c r="F36" s="27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27">
        <v>1</v>
      </c>
      <c r="F37" s="27">
        <v>1</v>
      </c>
      <c r="G37" s="3" t="s">
        <v>37</v>
      </c>
      <c r="H37" s="2" t="str">
        <f t="shared" si="0"/>
        <v>D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27">
        <v>0</v>
      </c>
      <c r="F38" s="27">
        <v>2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27">
        <v>2</v>
      </c>
      <c r="F39" s="27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27">
        <v>1</v>
      </c>
      <c r="F40" s="27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27">
        <v>1</v>
      </c>
      <c r="F41" s="27">
        <v>1</v>
      </c>
      <c r="G41" s="3" t="s">
        <v>45</v>
      </c>
      <c r="H41" s="2" t="str">
        <f t="shared" ref="H41:H72" si="1">IF(AND(E41&lt;&gt;"",F41&lt;&gt;""),IF(E41&gt;F41,"H",IF(E41&lt;F41,"A","D")),"")</f>
        <v>D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27">
        <v>0</v>
      </c>
      <c r="F42" s="27">
        <v>1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27">
        <v>1</v>
      </c>
      <c r="F43" s="27">
        <v>1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27">
        <v>0</v>
      </c>
      <c r="F44" s="27">
        <v>2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27">
        <v>2</v>
      </c>
      <c r="F45" s="27">
        <v>1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27">
        <v>1</v>
      </c>
      <c r="F46" s="27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27">
        <v>2</v>
      </c>
      <c r="F47" s="27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27">
        <v>1</v>
      </c>
      <c r="F48" s="27">
        <v>1</v>
      </c>
      <c r="G48" s="3" t="s">
        <v>50</v>
      </c>
      <c r="H48" s="2" t="str">
        <f t="shared" si="1"/>
        <v>D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27">
        <v>1</v>
      </c>
      <c r="F49" s="27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27">
        <v>0</v>
      </c>
      <c r="F50" s="27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27">
        <v>3</v>
      </c>
      <c r="F51" s="27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27">
        <v>0</v>
      </c>
      <c r="F52" s="27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27">
        <v>3</v>
      </c>
      <c r="F53" s="27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27">
        <v>2</v>
      </c>
      <c r="F54" s="27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27">
        <v>1</v>
      </c>
      <c r="F55" s="27">
        <v>1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27">
        <v>1</v>
      </c>
      <c r="F56" s="27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27">
        <v>2</v>
      </c>
      <c r="F57" s="27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27">
        <v>0</v>
      </c>
      <c r="F58" s="27">
        <v>3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27">
        <v>3</v>
      </c>
      <c r="F59" s="27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27">
        <v>2</v>
      </c>
      <c r="F60" s="27">
        <v>1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27">
        <v>1</v>
      </c>
      <c r="F61" s="27">
        <v>1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27">
        <v>2</v>
      </c>
      <c r="F62" s="27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27">
        <v>2</v>
      </c>
      <c r="F63" s="27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27">
        <v>2</v>
      </c>
      <c r="F64" s="27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27">
        <v>2</v>
      </c>
      <c r="F65" s="27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27">
        <v>0</v>
      </c>
      <c r="F66" s="27">
        <v>1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27">
        <v>1</v>
      </c>
      <c r="F67" s="27">
        <v>1</v>
      </c>
      <c r="G67" s="3" t="s">
        <v>70</v>
      </c>
      <c r="H67" s="2" t="str">
        <f t="shared" si="1"/>
        <v>D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27">
        <v>0</v>
      </c>
      <c r="F68" s="27">
        <v>3</v>
      </c>
      <c r="G68" s="3" t="s">
        <v>68</v>
      </c>
      <c r="H68" s="2" t="str">
        <f t="shared" si="1"/>
        <v>A</v>
      </c>
      <c r="J68">
        <v>0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27">
        <v>2</v>
      </c>
      <c r="F69" s="27">
        <v>0</v>
      </c>
      <c r="G69" s="3" t="s">
        <v>76</v>
      </c>
      <c r="H69" s="2" t="str">
        <f t="shared" si="1"/>
        <v>H</v>
      </c>
      <c r="J69">
        <v>1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27">
        <v>0</v>
      </c>
      <c r="F70" s="27">
        <v>2</v>
      </c>
      <c r="G70" s="3" t="s">
        <v>78</v>
      </c>
      <c r="H70" s="2" t="str">
        <f t="shared" si="1"/>
        <v>A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27">
        <v>3</v>
      </c>
      <c r="F71" s="27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27">
        <v>2</v>
      </c>
      <c r="F72" s="27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27">
        <v>1</v>
      </c>
      <c r="F73" s="27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27">
        <v>1</v>
      </c>
      <c r="F74" s="27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27">
        <v>2</v>
      </c>
      <c r="F75" s="27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27">
        <v>1</v>
      </c>
      <c r="F76" s="27">
        <v>1</v>
      </c>
      <c r="G76" s="3" t="s">
        <v>84</v>
      </c>
      <c r="H76" s="2" t="str">
        <f t="shared" si="2"/>
        <v>D</v>
      </c>
      <c r="J76">
        <v>0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27">
        <v>2</v>
      </c>
      <c r="F77" s="27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27">
        <v>0</v>
      </c>
      <c r="F78" s="27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27">
        <v>0</v>
      </c>
      <c r="F79" s="27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27">
        <v>3</v>
      </c>
      <c r="F80" s="27">
        <v>1</v>
      </c>
      <c r="G80" s="3" t="s">
        <v>83</v>
      </c>
      <c r="H80" s="2" t="str">
        <f t="shared" si="2"/>
        <v>H</v>
      </c>
      <c r="J80" s="54"/>
    </row>
    <row r="82" spans="10:10" x14ac:dyDescent="0.35">
      <c r="J82">
        <f>SUM(J8:J80)</f>
        <v>15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4979-9843-47A1-8F13-679217335487}">
  <sheetPr codeName="Blad14">
    <tabColor theme="8" tint="0.39997558519241921"/>
  </sheetPr>
  <dimension ref="A5:Q42"/>
  <sheetViews>
    <sheetView topLeftCell="A7" workbookViewId="0">
      <selection activeCell="I21" sqref="I21"/>
    </sheetView>
  </sheetViews>
  <sheetFormatPr defaultRowHeight="14.5" x14ac:dyDescent="0.35"/>
  <cols>
    <col min="1" max="1" width="3.26953125" customWidth="1"/>
    <col min="2" max="2" width="20.6328125" customWidth="1"/>
    <col min="3" max="3" width="1.7265625" customWidth="1"/>
    <col min="4" max="4" width="3.26953125" customWidth="1"/>
    <col min="5" max="5" width="20.6328125" customWidth="1"/>
    <col min="6" max="6" width="1.7265625" customWidth="1"/>
    <col min="7" max="7" width="3.26953125" customWidth="1"/>
    <col min="8" max="8" width="20.6328125" customWidth="1"/>
    <col min="9" max="9" width="1.7265625" customWidth="1"/>
    <col min="10" max="10" width="3.26953125" customWidth="1"/>
    <col min="11" max="11" width="20.6328125" customWidth="1"/>
    <col min="12" max="12" width="1.7265625" customWidth="1"/>
    <col min="13" max="13" width="3.26953125" customWidth="1"/>
    <col min="14" max="14" width="20.6328125" customWidth="1"/>
    <col min="15" max="15" width="1.7265625" customWidth="1"/>
    <col min="16" max="16" width="3.2695312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28" t="s">
        <v>10</v>
      </c>
      <c r="D10" s="10">
        <v>1</v>
      </c>
      <c r="E10" s="28" t="s">
        <v>56</v>
      </c>
      <c r="G10" s="10">
        <v>1</v>
      </c>
      <c r="H10" s="28" t="s">
        <v>56</v>
      </c>
      <c r="J10" s="10">
        <v>1</v>
      </c>
      <c r="K10" s="28" t="s">
        <v>56</v>
      </c>
      <c r="M10" s="10">
        <v>1</v>
      </c>
      <c r="N10" s="28" t="s">
        <v>56</v>
      </c>
      <c r="P10" s="10">
        <v>1</v>
      </c>
      <c r="Q10" s="28" t="s">
        <v>56</v>
      </c>
    </row>
    <row r="11" spans="1:17" s="9" customFormat="1" x14ac:dyDescent="0.35">
      <c r="A11" s="10">
        <f t="shared" ref="A11:A41" si="0">A10+1</f>
        <v>2</v>
      </c>
      <c r="B11" s="28" t="s">
        <v>13</v>
      </c>
      <c r="D11" s="10">
        <f t="shared" ref="D11:D25" si="1">D10+1</f>
        <v>2</v>
      </c>
      <c r="E11" s="28" t="s">
        <v>62</v>
      </c>
      <c r="G11" s="10">
        <f t="shared" ref="G11:G17" si="2">G10+1</f>
        <v>2</v>
      </c>
      <c r="H11" s="28" t="s">
        <v>62</v>
      </c>
      <c r="J11" s="10">
        <f>J10+1</f>
        <v>2</v>
      </c>
      <c r="K11" s="28" t="s">
        <v>62</v>
      </c>
      <c r="M11" s="10">
        <f>M10+1</f>
        <v>2</v>
      </c>
      <c r="N11" s="28" t="s">
        <v>62</v>
      </c>
    </row>
    <row r="12" spans="1:17" s="9" customFormat="1" x14ac:dyDescent="0.35">
      <c r="A12" s="10">
        <f t="shared" si="0"/>
        <v>3</v>
      </c>
      <c r="B12" s="28" t="s">
        <v>22</v>
      </c>
      <c r="D12" s="10">
        <f t="shared" si="1"/>
        <v>3</v>
      </c>
      <c r="E12" s="28" t="s">
        <v>81</v>
      </c>
      <c r="G12" s="10">
        <f t="shared" si="2"/>
        <v>3</v>
      </c>
      <c r="H12" s="28" t="s">
        <v>81</v>
      </c>
      <c r="J12" s="10">
        <f>J11+1</f>
        <v>3</v>
      </c>
      <c r="K12" s="28" t="s">
        <v>81</v>
      </c>
    </row>
    <row r="13" spans="1:17" s="9" customFormat="1" x14ac:dyDescent="0.35">
      <c r="A13" s="10">
        <f t="shared" si="0"/>
        <v>4</v>
      </c>
      <c r="B13" s="28" t="s">
        <v>18</v>
      </c>
      <c r="D13" s="10">
        <f t="shared" si="1"/>
        <v>4</v>
      </c>
      <c r="E13" s="28" t="s">
        <v>68</v>
      </c>
      <c r="G13" s="10">
        <f t="shared" si="2"/>
        <v>4</v>
      </c>
      <c r="H13" s="28" t="s">
        <v>68</v>
      </c>
      <c r="J13" s="10">
        <f>J12+1</f>
        <v>4</v>
      </c>
      <c r="K13" s="28" t="s">
        <v>68</v>
      </c>
    </row>
    <row r="14" spans="1:17" s="9" customFormat="1" x14ac:dyDescent="0.35">
      <c r="A14" s="10">
        <f t="shared" si="0"/>
        <v>5</v>
      </c>
      <c r="B14" s="28" t="s">
        <v>24</v>
      </c>
      <c r="D14" s="10">
        <f t="shared" si="1"/>
        <v>5</v>
      </c>
      <c r="E14" s="28" t="s">
        <v>75</v>
      </c>
      <c r="G14" s="10">
        <f t="shared" si="2"/>
        <v>5</v>
      </c>
      <c r="H14" s="28" t="s">
        <v>75</v>
      </c>
    </row>
    <row r="15" spans="1:17" s="9" customFormat="1" x14ac:dyDescent="0.35">
      <c r="A15" s="10">
        <f t="shared" si="0"/>
        <v>6</v>
      </c>
      <c r="B15" s="28" t="s">
        <v>25</v>
      </c>
      <c r="D15" s="10">
        <f t="shared" si="1"/>
        <v>6</v>
      </c>
      <c r="E15" s="28" t="s">
        <v>24</v>
      </c>
      <c r="G15" s="10">
        <f t="shared" si="2"/>
        <v>6</v>
      </c>
      <c r="H15" s="28" t="s">
        <v>24</v>
      </c>
    </row>
    <row r="16" spans="1:17" s="9" customFormat="1" x14ac:dyDescent="0.35">
      <c r="A16" s="10">
        <f t="shared" si="0"/>
        <v>7</v>
      </c>
      <c r="B16" s="28" t="s">
        <v>30</v>
      </c>
      <c r="D16" s="10">
        <f t="shared" si="1"/>
        <v>7</v>
      </c>
      <c r="E16" s="28" t="s">
        <v>37</v>
      </c>
      <c r="G16" s="10">
        <f t="shared" si="2"/>
        <v>7</v>
      </c>
      <c r="H16" s="28" t="s">
        <v>37</v>
      </c>
    </row>
    <row r="17" spans="1:11" s="9" customFormat="1" x14ac:dyDescent="0.35">
      <c r="A17" s="10">
        <f t="shared" si="0"/>
        <v>8</v>
      </c>
      <c r="B17" s="28" t="s">
        <v>33</v>
      </c>
      <c r="D17" s="10">
        <f t="shared" si="1"/>
        <v>8</v>
      </c>
      <c r="E17" s="28" t="s">
        <v>43</v>
      </c>
      <c r="G17" s="10">
        <f t="shared" si="2"/>
        <v>8</v>
      </c>
      <c r="H17" s="28" t="s">
        <v>43</v>
      </c>
    </row>
    <row r="18" spans="1:11" s="9" customFormat="1" x14ac:dyDescent="0.35">
      <c r="A18" s="10">
        <f t="shared" si="0"/>
        <v>9</v>
      </c>
      <c r="B18" s="28" t="s">
        <v>37</v>
      </c>
      <c r="D18" s="10">
        <f t="shared" si="1"/>
        <v>9</v>
      </c>
      <c r="E18" s="28" t="s">
        <v>49</v>
      </c>
    </row>
    <row r="19" spans="1:11" s="9" customFormat="1" x14ac:dyDescent="0.35">
      <c r="A19" s="10">
        <f t="shared" si="0"/>
        <v>10</v>
      </c>
      <c r="B19" s="28" t="s">
        <v>40</v>
      </c>
      <c r="D19" s="10">
        <f t="shared" si="1"/>
        <v>10</v>
      </c>
      <c r="E19" s="28" t="s">
        <v>78</v>
      </c>
    </row>
    <row r="20" spans="1:11" s="9" customFormat="1" x14ac:dyDescent="0.35">
      <c r="A20" s="10">
        <f t="shared" si="0"/>
        <v>11</v>
      </c>
      <c r="B20" s="28" t="s">
        <v>43</v>
      </c>
      <c r="D20" s="10">
        <f t="shared" si="1"/>
        <v>11</v>
      </c>
      <c r="E20" s="28" t="s">
        <v>25</v>
      </c>
      <c r="H20" s="12" t="s">
        <v>110</v>
      </c>
    </row>
    <row r="21" spans="1:11" s="9" customFormat="1" x14ac:dyDescent="0.35">
      <c r="A21" s="10">
        <f t="shared" si="0"/>
        <v>12</v>
      </c>
      <c r="B21" s="28" t="s">
        <v>45</v>
      </c>
      <c r="D21" s="10">
        <f t="shared" si="1"/>
        <v>12</v>
      </c>
      <c r="E21" s="28" t="s">
        <v>65</v>
      </c>
    </row>
    <row r="22" spans="1:11" s="9" customFormat="1" x14ac:dyDescent="0.35">
      <c r="A22" s="10">
        <f t="shared" si="0"/>
        <v>13</v>
      </c>
      <c r="B22" s="28" t="s">
        <v>49</v>
      </c>
      <c r="D22" s="10">
        <f t="shared" si="1"/>
        <v>13</v>
      </c>
      <c r="E22" s="28" t="s">
        <v>59</v>
      </c>
      <c r="H22" s="9" t="s">
        <v>113</v>
      </c>
      <c r="K22" s="29" t="s">
        <v>143</v>
      </c>
    </row>
    <row r="23" spans="1:11" s="9" customFormat="1" x14ac:dyDescent="0.35">
      <c r="A23" s="10">
        <f t="shared" si="0"/>
        <v>14</v>
      </c>
      <c r="B23" s="28" t="s">
        <v>51</v>
      </c>
      <c r="D23" s="10">
        <f t="shared" si="1"/>
        <v>14</v>
      </c>
      <c r="E23" s="28" t="s">
        <v>10</v>
      </c>
      <c r="H23" s="9" t="s">
        <v>116</v>
      </c>
      <c r="K23" s="29" t="s">
        <v>11</v>
      </c>
    </row>
    <row r="24" spans="1:11" s="9" customFormat="1" x14ac:dyDescent="0.35">
      <c r="A24" s="10">
        <f t="shared" si="0"/>
        <v>15</v>
      </c>
      <c r="B24" s="28" t="s">
        <v>56</v>
      </c>
      <c r="D24" s="10">
        <f t="shared" si="1"/>
        <v>15</v>
      </c>
      <c r="E24" s="28" t="s">
        <v>22</v>
      </c>
      <c r="H24" s="9" t="s">
        <v>119</v>
      </c>
      <c r="K24" s="29" t="s">
        <v>140</v>
      </c>
    </row>
    <row r="25" spans="1:11" s="9" customFormat="1" x14ac:dyDescent="0.35">
      <c r="A25" s="10">
        <f t="shared" si="0"/>
        <v>16</v>
      </c>
      <c r="B25" s="28" t="s">
        <v>59</v>
      </c>
      <c r="D25" s="10">
        <f t="shared" si="1"/>
        <v>16</v>
      </c>
      <c r="E25" s="28" t="s">
        <v>40</v>
      </c>
    </row>
    <row r="26" spans="1:11" s="9" customFormat="1" x14ac:dyDescent="0.35">
      <c r="A26" s="10">
        <f t="shared" si="0"/>
        <v>17</v>
      </c>
      <c r="B26" s="28" t="s">
        <v>62</v>
      </c>
      <c r="H26" s="9" t="s">
        <v>122</v>
      </c>
      <c r="K26" s="29">
        <v>284</v>
      </c>
    </row>
    <row r="27" spans="1:11" s="9" customFormat="1" x14ac:dyDescent="0.35">
      <c r="A27" s="10">
        <f t="shared" si="0"/>
        <v>18</v>
      </c>
      <c r="B27" s="28" t="s">
        <v>65</v>
      </c>
      <c r="H27" s="9" t="s">
        <v>124</v>
      </c>
    </row>
    <row r="28" spans="1:11" x14ac:dyDescent="0.35">
      <c r="A28" s="10">
        <f t="shared" si="0"/>
        <v>19</v>
      </c>
      <c r="B28" s="28" t="s">
        <v>68</v>
      </c>
    </row>
    <row r="29" spans="1:11" x14ac:dyDescent="0.35">
      <c r="A29" s="10">
        <f t="shared" si="0"/>
        <v>20</v>
      </c>
      <c r="B29" s="28" t="s">
        <v>70</v>
      </c>
    </row>
    <row r="30" spans="1:11" x14ac:dyDescent="0.35">
      <c r="A30" s="10">
        <f t="shared" si="0"/>
        <v>21</v>
      </c>
      <c r="B30" s="28" t="s">
        <v>75</v>
      </c>
    </row>
    <row r="31" spans="1:11" x14ac:dyDescent="0.35">
      <c r="A31" s="10">
        <f t="shared" si="0"/>
        <v>22</v>
      </c>
      <c r="B31" s="28" t="s">
        <v>78</v>
      </c>
    </row>
    <row r="32" spans="1:11" x14ac:dyDescent="0.35">
      <c r="A32" s="10">
        <f t="shared" si="0"/>
        <v>23</v>
      </c>
      <c r="B32" s="28" t="s">
        <v>81</v>
      </c>
    </row>
    <row r="33" spans="1:2" x14ac:dyDescent="0.35">
      <c r="A33" s="10">
        <f t="shared" si="0"/>
        <v>24</v>
      </c>
      <c r="B33" s="28" t="s">
        <v>82</v>
      </c>
    </row>
    <row r="34" spans="1:2" x14ac:dyDescent="0.35">
      <c r="A34" s="10">
        <f t="shared" si="0"/>
        <v>25</v>
      </c>
      <c r="B34" s="28" t="s">
        <v>12</v>
      </c>
    </row>
    <row r="35" spans="1:2" x14ac:dyDescent="0.35">
      <c r="A35" s="10">
        <f t="shared" si="0"/>
        <v>26</v>
      </c>
      <c r="B35" s="28" t="s">
        <v>19</v>
      </c>
    </row>
    <row r="36" spans="1:2" x14ac:dyDescent="0.35">
      <c r="A36" s="10">
        <f t="shared" si="0"/>
        <v>27</v>
      </c>
      <c r="B36" s="28" t="s">
        <v>31</v>
      </c>
    </row>
    <row r="37" spans="1:2" x14ac:dyDescent="0.35">
      <c r="A37" s="10">
        <f t="shared" si="0"/>
        <v>28</v>
      </c>
      <c r="B37" s="28" t="s">
        <v>39</v>
      </c>
    </row>
    <row r="38" spans="1:2" x14ac:dyDescent="0.35">
      <c r="A38" s="10">
        <f t="shared" si="0"/>
        <v>29</v>
      </c>
      <c r="B38" s="28" t="s">
        <v>44</v>
      </c>
    </row>
    <row r="39" spans="1:2" x14ac:dyDescent="0.35">
      <c r="A39" s="10">
        <f t="shared" si="0"/>
        <v>30</v>
      </c>
      <c r="B39" s="28" t="s">
        <v>69</v>
      </c>
    </row>
    <row r="40" spans="1:2" x14ac:dyDescent="0.35">
      <c r="A40" s="10">
        <f t="shared" si="0"/>
        <v>31</v>
      </c>
      <c r="B40" s="28" t="s">
        <v>63</v>
      </c>
    </row>
    <row r="41" spans="1:2" x14ac:dyDescent="0.35">
      <c r="A41" s="10">
        <f t="shared" si="0"/>
        <v>32</v>
      </c>
      <c r="B41" s="28" t="s">
        <v>27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B0D1-7422-4259-8B1B-1B45FBC2AE50}">
  <sheetPr codeName="Blad15">
    <tabColor theme="8" tint="0.39997558519241921"/>
  </sheetPr>
  <dimension ref="A6:J82"/>
  <sheetViews>
    <sheetView topLeftCell="A66" workbookViewId="0">
      <selection activeCell="J84" sqref="J84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1</v>
      </c>
      <c r="G12" s="3" t="s">
        <v>12</v>
      </c>
      <c r="H12" s="2" t="str">
        <f t="shared" si="0"/>
        <v>D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0</v>
      </c>
      <c r="F13" s="4">
        <v>1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0</v>
      </c>
      <c r="F14" s="4">
        <v>0</v>
      </c>
      <c r="G14" s="3" t="s">
        <v>12</v>
      </c>
      <c r="H14" s="2" t="str">
        <f t="shared" si="0"/>
        <v>D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0</v>
      </c>
      <c r="F15" s="4">
        <v>1</v>
      </c>
      <c r="G15" s="3" t="s">
        <v>19</v>
      </c>
      <c r="H15" s="2" t="str">
        <f t="shared" si="0"/>
        <v>A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3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1</v>
      </c>
      <c r="F17" s="4">
        <v>1</v>
      </c>
      <c r="G17" s="3" t="s">
        <v>19</v>
      </c>
      <c r="H17" s="2" t="str">
        <f t="shared" si="0"/>
        <v>D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1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2</v>
      </c>
      <c r="F19" s="4">
        <v>0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3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1</v>
      </c>
      <c r="F21" s="4">
        <v>1</v>
      </c>
      <c r="G21" s="3" t="s">
        <v>25</v>
      </c>
      <c r="H21" s="2" t="str">
        <f t="shared" si="0"/>
        <v>D</v>
      </c>
      <c r="J21">
        <v>3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0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2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1</v>
      </c>
      <c r="G28" s="3" t="s">
        <v>33</v>
      </c>
      <c r="H28" s="2" t="str">
        <f t="shared" si="0"/>
        <v>D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1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4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0</v>
      </c>
      <c r="G34" s="3" t="s">
        <v>40</v>
      </c>
      <c r="H34" s="2" t="str">
        <f t="shared" si="0"/>
        <v>H</v>
      </c>
      <c r="J34">
        <v>3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2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1</v>
      </c>
      <c r="F38" s="4">
        <v>1</v>
      </c>
      <c r="G38" s="3" t="s">
        <v>39</v>
      </c>
      <c r="H38" s="2" t="str">
        <f t="shared" si="0"/>
        <v>D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1</v>
      </c>
      <c r="F39" s="4">
        <v>1</v>
      </c>
      <c r="G39" s="3" t="s">
        <v>44</v>
      </c>
      <c r="H39" s="2" t="str">
        <f t="shared" si="0"/>
        <v>D</v>
      </c>
      <c r="J39">
        <v>1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1</v>
      </c>
      <c r="G40" s="3" t="s">
        <v>46</v>
      </c>
      <c r="H40" s="2" t="str">
        <f t="shared" si="0"/>
        <v>D</v>
      </c>
      <c r="J40">
        <v>0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1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D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1</v>
      </c>
      <c r="F42" s="4">
        <v>2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1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2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1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1</v>
      </c>
      <c r="G48" s="3" t="s">
        <v>50</v>
      </c>
      <c r="H48" s="2" t="str">
        <f t="shared" si="1"/>
        <v>D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0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1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3</v>
      </c>
      <c r="F54" s="4">
        <v>1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1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0</v>
      </c>
      <c r="F56" s="4">
        <v>1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1</v>
      </c>
      <c r="F57" s="4">
        <v>1</v>
      </c>
      <c r="G57" s="3" t="s">
        <v>63</v>
      </c>
      <c r="H57" s="2" t="str">
        <f t="shared" si="1"/>
        <v>D</v>
      </c>
      <c r="J57">
        <v>0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1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2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1</v>
      </c>
      <c r="F60" s="4">
        <v>1</v>
      </c>
      <c r="G60" s="3" t="s">
        <v>63</v>
      </c>
      <c r="H60" s="2" t="str">
        <f t="shared" si="1"/>
        <v>D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3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1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0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1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1</v>
      </c>
      <c r="G67" s="3" t="s">
        <v>70</v>
      </c>
      <c r="H67" s="2" t="str">
        <f t="shared" si="1"/>
        <v>D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2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2</v>
      </c>
      <c r="F69" s="4">
        <v>1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0</v>
      </c>
      <c r="F70" s="4">
        <v>1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3</v>
      </c>
      <c r="F71" s="4">
        <v>1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1</v>
      </c>
      <c r="F72" s="4">
        <v>1</v>
      </c>
      <c r="G72" s="3" t="s">
        <v>76</v>
      </c>
      <c r="H72" s="2" t="str">
        <f t="shared" si="1"/>
        <v>D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0</v>
      </c>
      <c r="F73" s="4">
        <v>1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0</v>
      </c>
      <c r="G74" s="3" t="s">
        <v>77</v>
      </c>
      <c r="H74" s="2" t="str">
        <f t="shared" si="2"/>
        <v>H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1</v>
      </c>
      <c r="F75" s="4">
        <v>1</v>
      </c>
      <c r="G75" s="3" t="s">
        <v>82</v>
      </c>
      <c r="H75" s="2" t="str">
        <f t="shared" si="2"/>
        <v>D</v>
      </c>
      <c r="J75">
        <v>0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0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4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2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0</v>
      </c>
      <c r="G80" s="3" t="s">
        <v>83</v>
      </c>
      <c r="H80" s="2" t="str">
        <f t="shared" si="2"/>
        <v>H</v>
      </c>
      <c r="J80" s="54"/>
    </row>
    <row r="82" spans="10:10" x14ac:dyDescent="0.35">
      <c r="J82">
        <f>SUM(J8:J80)</f>
        <v>18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8294-B6F9-4982-9683-7320A1CCCDA0}">
  <sheetPr codeName="Blad16">
    <tabColor theme="8" tint="0.39997558519241921"/>
  </sheetPr>
  <dimension ref="A5:Q42"/>
  <sheetViews>
    <sheetView topLeftCell="A15" workbookViewId="0">
      <selection activeCell="H30" sqref="H30"/>
    </sheetView>
  </sheetViews>
  <sheetFormatPr defaultColWidth="8.81640625" defaultRowHeight="14.5" x14ac:dyDescent="0.35"/>
  <cols>
    <col min="1" max="1" width="3.1796875" customWidth="1"/>
    <col min="2" max="2" width="20.6328125" customWidth="1"/>
    <col min="3" max="3" width="1.81640625" customWidth="1"/>
    <col min="4" max="4" width="3.1796875" customWidth="1"/>
    <col min="5" max="5" width="20.6328125" customWidth="1"/>
    <col min="6" max="6" width="1.81640625" customWidth="1"/>
    <col min="7" max="7" width="3.1796875" customWidth="1"/>
    <col min="8" max="8" width="20.6328125" customWidth="1"/>
    <col min="9" max="9" width="1.81640625" customWidth="1"/>
    <col min="10" max="10" width="3.1796875" customWidth="1"/>
    <col min="11" max="11" width="20.6328125" customWidth="1"/>
    <col min="12" max="12" width="1.81640625" customWidth="1"/>
    <col min="13" max="13" width="3.1796875" customWidth="1"/>
    <col min="14" max="14" width="20.6328125" customWidth="1"/>
    <col min="15" max="15" width="1.81640625" customWidth="1"/>
    <col min="16" max="16" width="3.179687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162</v>
      </c>
      <c r="G10" s="10">
        <v>1</v>
      </c>
      <c r="H10" s="11" t="s">
        <v>165</v>
      </c>
      <c r="J10" s="10">
        <v>1</v>
      </c>
      <c r="K10" s="11" t="s">
        <v>157</v>
      </c>
      <c r="M10" s="10">
        <v>1</v>
      </c>
      <c r="N10" s="11" t="s">
        <v>148</v>
      </c>
      <c r="P10" s="10">
        <v>1</v>
      </c>
      <c r="Q10" s="11" t="s">
        <v>148</v>
      </c>
    </row>
    <row r="11" spans="1:17" s="9" customFormat="1" x14ac:dyDescent="0.35">
      <c r="A11" s="10">
        <f t="shared" ref="A11:A41" si="0">A10+1</f>
        <v>2</v>
      </c>
      <c r="B11" s="11" t="s">
        <v>147</v>
      </c>
      <c r="D11" s="10">
        <f t="shared" ref="D11:D25" si="1">D10+1</f>
        <v>2</v>
      </c>
      <c r="E11" s="11" t="s">
        <v>165</v>
      </c>
      <c r="G11" s="10">
        <f t="shared" ref="G11:G17" si="2">G10+1</f>
        <v>2</v>
      </c>
      <c r="H11" s="11" t="s">
        <v>157</v>
      </c>
      <c r="J11" s="10">
        <f>J10+1</f>
        <v>2</v>
      </c>
      <c r="K11" s="11" t="s">
        <v>148</v>
      </c>
      <c r="M11" s="10">
        <f>M10+1</f>
        <v>2</v>
      </c>
      <c r="N11" s="11" t="s">
        <v>172</v>
      </c>
    </row>
    <row r="12" spans="1:17" s="9" customFormat="1" x14ac:dyDescent="0.35">
      <c r="A12" s="10">
        <f t="shared" si="0"/>
        <v>3</v>
      </c>
      <c r="B12" s="11" t="s">
        <v>169</v>
      </c>
      <c r="D12" s="10">
        <f t="shared" si="1"/>
        <v>3</v>
      </c>
      <c r="E12" s="11" t="s">
        <v>146</v>
      </c>
      <c r="G12" s="10">
        <f t="shared" si="2"/>
        <v>3</v>
      </c>
      <c r="H12" s="11" t="s">
        <v>148</v>
      </c>
      <c r="J12" s="10">
        <f>J11+1</f>
        <v>3</v>
      </c>
      <c r="K12" s="11" t="s">
        <v>75</v>
      </c>
    </row>
    <row r="13" spans="1:17" s="9" customFormat="1" x14ac:dyDescent="0.35">
      <c r="A13" s="10">
        <f t="shared" si="0"/>
        <v>4</v>
      </c>
      <c r="B13" s="11" t="s">
        <v>178</v>
      </c>
      <c r="D13" s="10">
        <f t="shared" si="1"/>
        <v>4</v>
      </c>
      <c r="E13" s="11" t="s">
        <v>177</v>
      </c>
      <c r="G13" s="10">
        <f t="shared" si="2"/>
        <v>4</v>
      </c>
      <c r="H13" s="11" t="s">
        <v>141</v>
      </c>
      <c r="J13" s="10">
        <f>J12+1</f>
        <v>4</v>
      </c>
      <c r="K13" s="11" t="s">
        <v>172</v>
      </c>
    </row>
    <row r="14" spans="1:17" s="9" customFormat="1" x14ac:dyDescent="0.35">
      <c r="A14" s="10">
        <f t="shared" si="0"/>
        <v>5</v>
      </c>
      <c r="B14" s="11" t="s">
        <v>162</v>
      </c>
      <c r="D14" s="10">
        <f t="shared" si="1"/>
        <v>5</v>
      </c>
      <c r="E14" s="11" t="s">
        <v>157</v>
      </c>
      <c r="G14" s="10">
        <f t="shared" si="2"/>
        <v>5</v>
      </c>
      <c r="H14" s="11" t="s">
        <v>75</v>
      </c>
    </row>
    <row r="15" spans="1:17" s="9" customFormat="1" x14ac:dyDescent="0.35">
      <c r="A15" s="10">
        <f t="shared" si="0"/>
        <v>6</v>
      </c>
      <c r="B15" s="11" t="s">
        <v>30</v>
      </c>
      <c r="D15" s="10">
        <f t="shared" si="1"/>
        <v>6</v>
      </c>
      <c r="E15" s="11" t="s">
        <v>148</v>
      </c>
      <c r="G15" s="10">
        <f t="shared" si="2"/>
        <v>6</v>
      </c>
      <c r="H15" s="11" t="s">
        <v>151</v>
      </c>
    </row>
    <row r="16" spans="1:17" s="9" customFormat="1" x14ac:dyDescent="0.35">
      <c r="A16" s="10">
        <f t="shared" si="0"/>
        <v>7</v>
      </c>
      <c r="B16" s="11" t="s">
        <v>33</v>
      </c>
      <c r="D16" s="10">
        <f t="shared" si="1"/>
        <v>7</v>
      </c>
      <c r="E16" s="11" t="s">
        <v>141</v>
      </c>
      <c r="G16" s="10">
        <f t="shared" si="2"/>
        <v>7</v>
      </c>
      <c r="H16" s="11" t="s">
        <v>172</v>
      </c>
    </row>
    <row r="17" spans="1:11" s="9" customFormat="1" x14ac:dyDescent="0.35">
      <c r="A17" s="10">
        <f t="shared" si="0"/>
        <v>8</v>
      </c>
      <c r="B17" s="11" t="s">
        <v>165</v>
      </c>
      <c r="D17" s="10">
        <f t="shared" si="1"/>
        <v>8</v>
      </c>
      <c r="E17" s="11" t="s">
        <v>75</v>
      </c>
      <c r="G17" s="10">
        <f t="shared" si="2"/>
        <v>8</v>
      </c>
      <c r="H17" s="11" t="s">
        <v>138</v>
      </c>
    </row>
    <row r="18" spans="1:11" s="9" customFormat="1" x14ac:dyDescent="0.35">
      <c r="A18" s="10">
        <f t="shared" si="0"/>
        <v>9</v>
      </c>
      <c r="B18" s="11" t="s">
        <v>164</v>
      </c>
      <c r="D18" s="10">
        <f t="shared" si="1"/>
        <v>9</v>
      </c>
      <c r="E18" s="11" t="s">
        <v>174</v>
      </c>
    </row>
    <row r="19" spans="1:11" s="9" customFormat="1" x14ac:dyDescent="0.35">
      <c r="A19" s="10">
        <f t="shared" si="0"/>
        <v>10</v>
      </c>
      <c r="B19" s="11" t="s">
        <v>146</v>
      </c>
      <c r="D19" s="10">
        <f t="shared" si="1"/>
        <v>10</v>
      </c>
      <c r="E19" s="11" t="s">
        <v>151</v>
      </c>
    </row>
    <row r="20" spans="1:11" s="9" customFormat="1" x14ac:dyDescent="0.35">
      <c r="A20" s="10">
        <f t="shared" si="0"/>
        <v>11</v>
      </c>
      <c r="B20" s="11" t="s">
        <v>44</v>
      </c>
      <c r="D20" s="10">
        <f t="shared" si="1"/>
        <v>11</v>
      </c>
      <c r="E20" s="11" t="s">
        <v>172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177</v>
      </c>
      <c r="D21" s="10">
        <f t="shared" si="1"/>
        <v>12</v>
      </c>
      <c r="E21" s="11" t="s">
        <v>30</v>
      </c>
    </row>
    <row r="22" spans="1:11" s="9" customFormat="1" x14ac:dyDescent="0.35">
      <c r="A22" s="10">
        <f t="shared" si="0"/>
        <v>13</v>
      </c>
      <c r="B22" s="11" t="s">
        <v>158</v>
      </c>
      <c r="D22" s="10">
        <f t="shared" si="1"/>
        <v>13</v>
      </c>
      <c r="E22" s="11" t="s">
        <v>59</v>
      </c>
      <c r="H22" s="9" t="s">
        <v>113</v>
      </c>
      <c r="K22" s="11" t="s">
        <v>176</v>
      </c>
    </row>
    <row r="23" spans="1:11" s="9" customFormat="1" x14ac:dyDescent="0.35">
      <c r="A23" s="10">
        <f t="shared" si="0"/>
        <v>14</v>
      </c>
      <c r="B23" s="11" t="s">
        <v>157</v>
      </c>
      <c r="D23" s="10">
        <f t="shared" si="1"/>
        <v>14</v>
      </c>
      <c r="E23" s="11" t="s">
        <v>63</v>
      </c>
      <c r="H23" s="9" t="s">
        <v>116</v>
      </c>
      <c r="K23" s="11" t="s">
        <v>31</v>
      </c>
    </row>
    <row r="24" spans="1:11" s="9" customFormat="1" x14ac:dyDescent="0.35">
      <c r="A24" s="10">
        <f t="shared" si="0"/>
        <v>15</v>
      </c>
      <c r="B24" s="11" t="s">
        <v>59</v>
      </c>
      <c r="D24" s="10">
        <f t="shared" si="1"/>
        <v>15</v>
      </c>
      <c r="E24" s="11" t="s">
        <v>156</v>
      </c>
      <c r="H24" s="9" t="s">
        <v>119</v>
      </c>
      <c r="K24" s="11" t="s">
        <v>176</v>
      </c>
    </row>
    <row r="25" spans="1:11" s="9" customFormat="1" x14ac:dyDescent="0.35">
      <c r="A25" s="10">
        <f t="shared" si="0"/>
        <v>16</v>
      </c>
      <c r="B25" s="11" t="s">
        <v>148</v>
      </c>
      <c r="D25" s="10">
        <f t="shared" si="1"/>
        <v>16</v>
      </c>
      <c r="E25" s="11" t="s">
        <v>45</v>
      </c>
    </row>
    <row r="26" spans="1:11" s="9" customFormat="1" x14ac:dyDescent="0.35">
      <c r="A26" s="10">
        <f t="shared" si="0"/>
        <v>17</v>
      </c>
      <c r="B26" s="11" t="s">
        <v>63</v>
      </c>
      <c r="H26" s="9" t="s">
        <v>122</v>
      </c>
      <c r="K26" s="13">
        <v>344</v>
      </c>
    </row>
    <row r="27" spans="1:11" s="9" customFormat="1" x14ac:dyDescent="0.35">
      <c r="A27" s="10">
        <f t="shared" si="0"/>
        <v>18</v>
      </c>
      <c r="B27" s="11" t="s">
        <v>141</v>
      </c>
      <c r="H27" s="9" t="s">
        <v>124</v>
      </c>
    </row>
    <row r="28" spans="1:11" x14ac:dyDescent="0.35">
      <c r="A28" s="10">
        <f t="shared" si="0"/>
        <v>19</v>
      </c>
      <c r="B28" s="11" t="s">
        <v>175</v>
      </c>
    </row>
    <row r="29" spans="1:11" x14ac:dyDescent="0.35">
      <c r="A29" s="10">
        <f t="shared" si="0"/>
        <v>20</v>
      </c>
      <c r="B29" s="11" t="s">
        <v>75</v>
      </c>
    </row>
    <row r="30" spans="1:11" x14ac:dyDescent="0.35">
      <c r="A30" s="10">
        <f t="shared" si="0"/>
        <v>21</v>
      </c>
      <c r="B30" s="11" t="s">
        <v>76</v>
      </c>
    </row>
    <row r="31" spans="1:11" x14ac:dyDescent="0.35">
      <c r="A31" s="10">
        <f t="shared" si="0"/>
        <v>22</v>
      </c>
      <c r="B31" s="11" t="s">
        <v>174</v>
      </c>
    </row>
    <row r="32" spans="1:11" x14ac:dyDescent="0.35">
      <c r="A32" s="10">
        <f t="shared" si="0"/>
        <v>23</v>
      </c>
      <c r="B32" s="11" t="s">
        <v>151</v>
      </c>
    </row>
    <row r="33" spans="1:2" x14ac:dyDescent="0.35">
      <c r="A33" s="10">
        <f t="shared" si="0"/>
        <v>24</v>
      </c>
      <c r="B33" s="11" t="s">
        <v>78</v>
      </c>
    </row>
    <row r="34" spans="1:2" x14ac:dyDescent="0.35">
      <c r="A34" s="10">
        <f t="shared" si="0"/>
        <v>25</v>
      </c>
      <c r="B34" s="11" t="s">
        <v>156</v>
      </c>
    </row>
    <row r="35" spans="1:2" x14ac:dyDescent="0.35">
      <c r="A35" s="10">
        <f t="shared" si="0"/>
        <v>26</v>
      </c>
      <c r="B35" s="11" t="s">
        <v>154</v>
      </c>
    </row>
    <row r="36" spans="1:2" x14ac:dyDescent="0.35">
      <c r="A36" s="10">
        <f t="shared" si="0"/>
        <v>27</v>
      </c>
      <c r="B36" s="11" t="s">
        <v>40</v>
      </c>
    </row>
    <row r="37" spans="1:2" x14ac:dyDescent="0.35">
      <c r="A37" s="10">
        <f t="shared" si="0"/>
        <v>28</v>
      </c>
      <c r="B37" s="11" t="s">
        <v>45</v>
      </c>
    </row>
    <row r="38" spans="1:2" x14ac:dyDescent="0.35">
      <c r="A38" s="10">
        <f t="shared" si="0"/>
        <v>29</v>
      </c>
      <c r="B38" s="11" t="s">
        <v>170</v>
      </c>
    </row>
    <row r="39" spans="1:2" x14ac:dyDescent="0.35">
      <c r="A39" s="10">
        <f t="shared" si="0"/>
        <v>30</v>
      </c>
      <c r="B39" s="11" t="s">
        <v>173</v>
      </c>
    </row>
    <row r="40" spans="1:2" x14ac:dyDescent="0.35">
      <c r="A40" s="10">
        <f t="shared" si="0"/>
        <v>31</v>
      </c>
      <c r="B40" s="11" t="s">
        <v>83</v>
      </c>
    </row>
    <row r="41" spans="1:2" x14ac:dyDescent="0.35">
      <c r="A41" s="10">
        <f t="shared" si="0"/>
        <v>32</v>
      </c>
      <c r="B41" s="11" t="s">
        <v>172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4E57-9502-4ADE-86F5-F0209816CBF8}">
  <sheetPr>
    <tabColor theme="8" tint="0.39997558519241921"/>
  </sheetPr>
  <dimension ref="A6:J82"/>
  <sheetViews>
    <sheetView topLeftCell="A64" workbookViewId="0">
      <selection activeCell="J82" sqref="J82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3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2</v>
      </c>
      <c r="G11" s="3" t="s">
        <v>11</v>
      </c>
      <c r="H11" s="2" t="str">
        <f t="shared" si="0"/>
        <v>A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4</v>
      </c>
      <c r="F12" s="4">
        <v>0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2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0</v>
      </c>
      <c r="F14" s="4">
        <v>0</v>
      </c>
      <c r="G14" s="3" t="s">
        <v>12</v>
      </c>
      <c r="H14" s="2" t="str">
        <f t="shared" si="0"/>
        <v>D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0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3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1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1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1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2</v>
      </c>
      <c r="G21" s="3" t="s">
        <v>25</v>
      </c>
      <c r="H21" s="2" t="str">
        <f t="shared" si="0"/>
        <v>D</v>
      </c>
      <c r="J21">
        <v>1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0</v>
      </c>
      <c r="F23" s="4">
        <v>0</v>
      </c>
      <c r="G23" s="3" t="s">
        <v>25</v>
      </c>
      <c r="H23" s="2" t="str">
        <f t="shared" si="0"/>
        <v>D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1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2</v>
      </c>
      <c r="G27" s="3" t="s">
        <v>31</v>
      </c>
      <c r="H27" s="2" t="str">
        <f t="shared" si="0"/>
        <v>D</v>
      </c>
      <c r="J27">
        <v>0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0</v>
      </c>
      <c r="F28" s="4">
        <v>1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1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1</v>
      </c>
      <c r="F30" s="4">
        <v>0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0</v>
      </c>
      <c r="F32" s="4">
        <v>1</v>
      </c>
      <c r="G32" s="3" t="s">
        <v>32</v>
      </c>
      <c r="H32" s="2" t="str">
        <f t="shared" si="0"/>
        <v>A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0</v>
      </c>
      <c r="F34" s="4">
        <v>0</v>
      </c>
      <c r="G34" s="3" t="s">
        <v>40</v>
      </c>
      <c r="H34" s="2" t="str">
        <f t="shared" si="0"/>
        <v>D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3</v>
      </c>
      <c r="F35" s="4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1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0</v>
      </c>
      <c r="F37" s="4">
        <v>1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1</v>
      </c>
      <c r="F38" s="4">
        <v>1</v>
      </c>
      <c r="G38" s="3" t="s">
        <v>39</v>
      </c>
      <c r="H38" s="2" t="str">
        <f t="shared" si="0"/>
        <v>D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3</v>
      </c>
      <c r="F40" s="4">
        <v>2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3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1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1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1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1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0</v>
      </c>
      <c r="F46" s="4">
        <v>1</v>
      </c>
      <c r="G46" s="3" t="s">
        <v>52</v>
      </c>
      <c r="H46" s="2" t="str">
        <f t="shared" si="1"/>
        <v>A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2</v>
      </c>
      <c r="F49" s="4">
        <v>0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4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1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3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0</v>
      </c>
      <c r="F55" s="4">
        <v>0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4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1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4</v>
      </c>
      <c r="F59" s="4">
        <v>1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1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1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1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3</v>
      </c>
      <c r="F63" s="4">
        <v>1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3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1</v>
      </c>
      <c r="F66" s="4">
        <v>1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0</v>
      </c>
      <c r="F67" s="4">
        <v>1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2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5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0</v>
      </c>
      <c r="G70" s="3" t="s">
        <v>78</v>
      </c>
      <c r="H70" s="2" t="str">
        <f t="shared" si="1"/>
        <v>H</v>
      </c>
      <c r="J70">
        <v>0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3</v>
      </c>
      <c r="F71" s="4">
        <v>1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0</v>
      </c>
      <c r="F72" s="4">
        <v>0</v>
      </c>
      <c r="G72" s="3" t="s">
        <v>76</v>
      </c>
      <c r="H72" s="2" t="str">
        <f t="shared" si="1"/>
        <v>D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0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2</v>
      </c>
      <c r="G76" s="3" t="s">
        <v>84</v>
      </c>
      <c r="H76" s="2" t="str">
        <f t="shared" si="2"/>
        <v>D</v>
      </c>
      <c r="J76">
        <v>0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3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3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0</v>
      </c>
      <c r="G80" s="3" t="s">
        <v>83</v>
      </c>
      <c r="H80" s="2" t="str">
        <f t="shared" si="2"/>
        <v>H</v>
      </c>
      <c r="J80" s="54"/>
    </row>
    <row r="82" spans="10:10" x14ac:dyDescent="0.35">
      <c r="J82">
        <f>SUM(J8:J80)</f>
        <v>10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BB57-9AC6-4201-A255-E6B9E4C19D2C}">
  <sheetPr>
    <tabColor theme="8" tint="0.39997558519241921"/>
  </sheetPr>
  <dimension ref="A5:Q42"/>
  <sheetViews>
    <sheetView topLeftCell="A4" workbookViewId="0">
      <selection activeCell="K19" sqref="K19"/>
    </sheetView>
  </sheetViews>
  <sheetFormatPr defaultColWidth="8.7265625" defaultRowHeight="14.5" x14ac:dyDescent="0.35"/>
  <cols>
    <col min="1" max="1" width="3.26953125" customWidth="1"/>
    <col min="2" max="2" width="20.54296875" customWidth="1"/>
    <col min="3" max="3" width="1.7265625" customWidth="1"/>
    <col min="4" max="4" width="3.26953125" customWidth="1"/>
    <col min="5" max="5" width="20.54296875" customWidth="1"/>
    <col min="6" max="6" width="1.7265625" customWidth="1"/>
    <col min="7" max="7" width="3.26953125" customWidth="1"/>
    <col min="8" max="8" width="20.54296875" customWidth="1"/>
    <col min="9" max="9" width="1.7265625" customWidth="1"/>
    <col min="10" max="10" width="3.26953125" customWidth="1"/>
    <col min="11" max="11" width="20.54296875" customWidth="1"/>
    <col min="12" max="12" width="1.7265625" customWidth="1"/>
    <col min="13" max="13" width="3.26953125" customWidth="1"/>
    <col min="14" max="14" width="20.54296875" customWidth="1"/>
    <col min="15" max="15" width="1.7265625" customWidth="1"/>
    <col min="16" max="16" width="3.26953125" customWidth="1"/>
    <col min="17" max="17" width="20.5429687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91</v>
      </c>
      <c r="G10" s="10">
        <v>1</v>
      </c>
      <c r="H10" s="11" t="s">
        <v>91</v>
      </c>
      <c r="J10" s="10">
        <v>1</v>
      </c>
      <c r="K10" s="11" t="s">
        <v>91</v>
      </c>
      <c r="M10" s="10">
        <v>1</v>
      </c>
      <c r="N10" s="11" t="s">
        <v>91</v>
      </c>
      <c r="P10" s="10">
        <v>1</v>
      </c>
      <c r="Q10" s="11" t="s">
        <v>91</v>
      </c>
    </row>
    <row r="11" spans="1:17" s="9" customFormat="1" x14ac:dyDescent="0.35">
      <c r="A11" s="10">
        <f t="shared" ref="A11:A41" si="0">A10+1</f>
        <v>2</v>
      </c>
      <c r="B11" s="11" t="s">
        <v>187</v>
      </c>
      <c r="D11" s="10">
        <f t="shared" ref="D11:D25" si="1">D10+1</f>
        <v>2</v>
      </c>
      <c r="E11" s="11" t="s">
        <v>98</v>
      </c>
      <c r="G11" s="10">
        <f t="shared" ref="G11:G17" si="2">G10+1</f>
        <v>2</v>
      </c>
      <c r="H11" s="11" t="s">
        <v>105</v>
      </c>
      <c r="J11" s="10">
        <f>J10+1</f>
        <v>2</v>
      </c>
      <c r="K11" s="11" t="s">
        <v>106</v>
      </c>
      <c r="M11" s="10">
        <f>M10+1</f>
        <v>2</v>
      </c>
      <c r="N11" s="11" t="s">
        <v>96</v>
      </c>
    </row>
    <row r="12" spans="1:17" s="9" customFormat="1" x14ac:dyDescent="0.35">
      <c r="A12" s="10">
        <f t="shared" si="0"/>
        <v>3</v>
      </c>
      <c r="B12" s="11" t="s">
        <v>186</v>
      </c>
      <c r="D12" s="10">
        <f t="shared" si="1"/>
        <v>3</v>
      </c>
      <c r="E12" s="11" t="s">
        <v>131</v>
      </c>
      <c r="G12" s="10">
        <f t="shared" si="2"/>
        <v>3</v>
      </c>
      <c r="H12" s="11" t="s">
        <v>96</v>
      </c>
      <c r="J12" s="10">
        <f>J11+1</f>
        <v>3</v>
      </c>
      <c r="K12" s="11" t="s">
        <v>92</v>
      </c>
    </row>
    <row r="13" spans="1:17" s="9" customFormat="1" x14ac:dyDescent="0.35">
      <c r="A13" s="10">
        <f t="shared" si="0"/>
        <v>4</v>
      </c>
      <c r="B13" s="11" t="s">
        <v>98</v>
      </c>
      <c r="D13" s="10">
        <f t="shared" si="1"/>
        <v>4</v>
      </c>
      <c r="E13" s="11" t="s">
        <v>144</v>
      </c>
      <c r="G13" s="10">
        <f t="shared" si="2"/>
        <v>4</v>
      </c>
      <c r="H13" s="11" t="s">
        <v>103</v>
      </c>
      <c r="J13" s="10">
        <f>J12+1</f>
        <v>4</v>
      </c>
      <c r="K13" s="11" t="s">
        <v>96</v>
      </c>
    </row>
    <row r="14" spans="1:17" s="9" customFormat="1" x14ac:dyDescent="0.35">
      <c r="A14" s="10">
        <f t="shared" si="0"/>
        <v>5</v>
      </c>
      <c r="B14" s="11" t="s">
        <v>131</v>
      </c>
      <c r="D14" s="10">
        <f t="shared" si="1"/>
        <v>5</v>
      </c>
      <c r="E14" s="11" t="s">
        <v>96</v>
      </c>
      <c r="G14" s="10">
        <f t="shared" si="2"/>
        <v>5</v>
      </c>
      <c r="H14" s="11" t="s">
        <v>106</v>
      </c>
    </row>
    <row r="15" spans="1:17" s="9" customFormat="1" x14ac:dyDescent="0.35">
      <c r="A15" s="10">
        <f t="shared" si="0"/>
        <v>6</v>
      </c>
      <c r="B15" s="11" t="s">
        <v>100</v>
      </c>
      <c r="D15" s="10">
        <f t="shared" si="1"/>
        <v>6</v>
      </c>
      <c r="E15" s="11" t="s">
        <v>103</v>
      </c>
      <c r="G15" s="10">
        <f t="shared" si="2"/>
        <v>6</v>
      </c>
      <c r="H15" s="11" t="s">
        <v>92</v>
      </c>
    </row>
    <row r="16" spans="1:17" s="9" customFormat="1" x14ac:dyDescent="0.35">
      <c r="A16" s="10">
        <f t="shared" si="0"/>
        <v>7</v>
      </c>
      <c r="B16" s="11" t="s">
        <v>185</v>
      </c>
      <c r="D16" s="10">
        <f t="shared" si="1"/>
        <v>7</v>
      </c>
      <c r="E16" s="11" t="s">
        <v>94</v>
      </c>
      <c r="G16" s="10">
        <f t="shared" si="2"/>
        <v>7</v>
      </c>
      <c r="H16" s="11" t="s">
        <v>94</v>
      </c>
    </row>
    <row r="17" spans="1:11" s="9" customFormat="1" x14ac:dyDescent="0.35">
      <c r="A17" s="10">
        <f t="shared" si="0"/>
        <v>8</v>
      </c>
      <c r="B17" s="11" t="s">
        <v>184</v>
      </c>
      <c r="D17" s="10">
        <f t="shared" si="1"/>
        <v>8</v>
      </c>
      <c r="E17" s="11" t="s">
        <v>97</v>
      </c>
      <c r="G17" s="10">
        <f t="shared" si="2"/>
        <v>8</v>
      </c>
      <c r="H17" s="11" t="s">
        <v>101</v>
      </c>
    </row>
    <row r="18" spans="1:11" s="9" customFormat="1" x14ac:dyDescent="0.35">
      <c r="A18" s="10">
        <f t="shared" si="0"/>
        <v>9</v>
      </c>
      <c r="B18" s="11" t="s">
        <v>180</v>
      </c>
      <c r="D18" s="10">
        <f t="shared" si="1"/>
        <v>9</v>
      </c>
      <c r="E18" s="11" t="s">
        <v>92</v>
      </c>
    </row>
    <row r="19" spans="1:11" s="9" customFormat="1" x14ac:dyDescent="0.35">
      <c r="A19" s="10">
        <f t="shared" si="0"/>
        <v>10</v>
      </c>
      <c r="B19" s="11" t="s">
        <v>109</v>
      </c>
      <c r="D19" s="10">
        <f t="shared" si="1"/>
        <v>10</v>
      </c>
      <c r="E19" s="11" t="s">
        <v>99</v>
      </c>
    </row>
    <row r="20" spans="1:11" s="9" customFormat="1" x14ac:dyDescent="0.35">
      <c r="A20" s="10">
        <f t="shared" si="0"/>
        <v>11</v>
      </c>
      <c r="B20" s="11" t="s">
        <v>183</v>
      </c>
      <c r="D20" s="10">
        <f t="shared" si="1"/>
        <v>11</v>
      </c>
      <c r="E20" s="11" t="s">
        <v>106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139</v>
      </c>
      <c r="D21" s="10">
        <f t="shared" si="1"/>
        <v>12</v>
      </c>
      <c r="E21" s="11" t="s">
        <v>105</v>
      </c>
    </row>
    <row r="22" spans="1:11" s="9" customFormat="1" x14ac:dyDescent="0.35">
      <c r="A22" s="10">
        <f t="shared" si="0"/>
        <v>13</v>
      </c>
      <c r="B22" s="11" t="s">
        <v>96</v>
      </c>
      <c r="D22" s="10">
        <f t="shared" si="1"/>
        <v>13</v>
      </c>
      <c r="E22" s="11" t="s">
        <v>112</v>
      </c>
      <c r="H22" s="9" t="s">
        <v>113</v>
      </c>
      <c r="K22" s="11" t="s">
        <v>163</v>
      </c>
    </row>
    <row r="23" spans="1:11" s="9" customFormat="1" x14ac:dyDescent="0.35">
      <c r="A23" s="10">
        <f t="shared" si="0"/>
        <v>14</v>
      </c>
      <c r="B23" s="11" t="s">
        <v>182</v>
      </c>
      <c r="D23" s="10">
        <f t="shared" si="1"/>
        <v>14</v>
      </c>
      <c r="E23" s="11" t="s">
        <v>109</v>
      </c>
      <c r="H23" s="9" t="s">
        <v>116</v>
      </c>
      <c r="K23" s="11" t="s">
        <v>181</v>
      </c>
    </row>
    <row r="24" spans="1:11" s="9" customFormat="1" x14ac:dyDescent="0.35">
      <c r="A24" s="10">
        <f t="shared" si="0"/>
        <v>15</v>
      </c>
      <c r="B24" s="11" t="s">
        <v>145</v>
      </c>
      <c r="D24" s="10">
        <f t="shared" si="1"/>
        <v>15</v>
      </c>
      <c r="E24" s="11" t="s">
        <v>180</v>
      </c>
      <c r="H24" s="9" t="s">
        <v>119</v>
      </c>
      <c r="K24" s="11" t="s">
        <v>179</v>
      </c>
    </row>
    <row r="25" spans="1:11" s="9" customFormat="1" x14ac:dyDescent="0.35">
      <c r="A25" s="10">
        <f t="shared" si="0"/>
        <v>16</v>
      </c>
      <c r="B25" s="11" t="s">
        <v>91</v>
      </c>
      <c r="D25" s="10">
        <f t="shared" si="1"/>
        <v>16</v>
      </c>
      <c r="E25" s="11" t="s">
        <v>93</v>
      </c>
    </row>
    <row r="26" spans="1:11" s="9" customFormat="1" x14ac:dyDescent="0.35">
      <c r="A26" s="10">
        <f t="shared" si="0"/>
        <v>17</v>
      </c>
      <c r="B26" s="11" t="s">
        <v>94</v>
      </c>
      <c r="H26" s="9" t="s">
        <v>122</v>
      </c>
      <c r="K26" s="13">
        <v>308</v>
      </c>
    </row>
    <row r="27" spans="1:11" s="9" customFormat="1" x14ac:dyDescent="0.35">
      <c r="A27" s="10">
        <f t="shared" si="0"/>
        <v>18</v>
      </c>
      <c r="B27" s="11" t="s">
        <v>97</v>
      </c>
      <c r="H27" s="9" t="s">
        <v>124</v>
      </c>
    </row>
    <row r="28" spans="1:11" x14ac:dyDescent="0.35">
      <c r="A28" s="10">
        <f t="shared" si="0"/>
        <v>19</v>
      </c>
      <c r="B28" s="11" t="s">
        <v>103</v>
      </c>
    </row>
    <row r="29" spans="1:11" x14ac:dyDescent="0.35">
      <c r="A29" s="10">
        <f t="shared" si="0"/>
        <v>20</v>
      </c>
      <c r="B29" s="11" t="s">
        <v>142</v>
      </c>
    </row>
    <row r="30" spans="1:11" x14ac:dyDescent="0.35">
      <c r="A30" s="10">
        <f t="shared" si="0"/>
        <v>21</v>
      </c>
      <c r="B30" s="11" t="s">
        <v>101</v>
      </c>
    </row>
    <row r="31" spans="1:11" x14ac:dyDescent="0.35">
      <c r="A31" s="10">
        <f t="shared" si="0"/>
        <v>22</v>
      </c>
      <c r="B31" s="11" t="s">
        <v>130</v>
      </c>
    </row>
    <row r="32" spans="1:11" x14ac:dyDescent="0.35">
      <c r="A32" s="10">
        <f t="shared" si="0"/>
        <v>23</v>
      </c>
      <c r="B32" s="11" t="s">
        <v>92</v>
      </c>
    </row>
    <row r="33" spans="1:2" x14ac:dyDescent="0.35">
      <c r="A33" s="10">
        <f t="shared" si="0"/>
        <v>24</v>
      </c>
      <c r="B33" s="11" t="s">
        <v>128</v>
      </c>
    </row>
    <row r="34" spans="1:2" x14ac:dyDescent="0.35">
      <c r="A34" s="10">
        <f t="shared" si="0"/>
        <v>25</v>
      </c>
      <c r="B34" s="11" t="s">
        <v>121</v>
      </c>
    </row>
    <row r="35" spans="1:2" x14ac:dyDescent="0.35">
      <c r="A35" s="10">
        <f t="shared" si="0"/>
        <v>26</v>
      </c>
      <c r="B35" s="11" t="s">
        <v>106</v>
      </c>
    </row>
    <row r="36" spans="1:2" x14ac:dyDescent="0.35">
      <c r="A36" s="10">
        <f t="shared" si="0"/>
        <v>27</v>
      </c>
      <c r="B36" s="11" t="s">
        <v>127</v>
      </c>
    </row>
    <row r="37" spans="1:2" x14ac:dyDescent="0.35">
      <c r="A37" s="10">
        <f t="shared" si="0"/>
        <v>28</v>
      </c>
      <c r="B37" s="11" t="s">
        <v>105</v>
      </c>
    </row>
    <row r="38" spans="1:2" x14ac:dyDescent="0.35">
      <c r="A38" s="10">
        <f t="shared" si="0"/>
        <v>29</v>
      </c>
      <c r="B38" s="11" t="s">
        <v>129</v>
      </c>
    </row>
    <row r="39" spans="1:2" x14ac:dyDescent="0.35">
      <c r="A39" s="10">
        <f t="shared" si="0"/>
        <v>30</v>
      </c>
      <c r="B39" s="11" t="s">
        <v>99</v>
      </c>
    </row>
    <row r="40" spans="1:2" x14ac:dyDescent="0.35">
      <c r="A40" s="10">
        <f t="shared" si="0"/>
        <v>31</v>
      </c>
      <c r="B40" s="11" t="s">
        <v>112</v>
      </c>
    </row>
    <row r="41" spans="1:2" x14ac:dyDescent="0.35">
      <c r="A41" s="10">
        <f t="shared" si="0"/>
        <v>32</v>
      </c>
      <c r="B41" s="11" t="s">
        <v>107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E020-C887-4AEA-AF6E-660E8A69C394}">
  <sheetPr>
    <tabColor theme="8" tint="0.39997558519241921"/>
  </sheetPr>
  <dimension ref="A6:J82"/>
  <sheetViews>
    <sheetView topLeftCell="A66" workbookViewId="0">
      <selection activeCell="J74" sqref="J74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2</v>
      </c>
      <c r="G10" s="3" t="s">
        <v>13</v>
      </c>
      <c r="H10" s="2" t="str">
        <f t="shared" si="0"/>
        <v>A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3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1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2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1</v>
      </c>
      <c r="G14" s="3" t="s">
        <v>12</v>
      </c>
      <c r="H14" s="2" t="str">
        <f t="shared" si="0"/>
        <v>D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1</v>
      </c>
      <c r="F15" s="4">
        <v>0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1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1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1</v>
      </c>
      <c r="F21" s="4">
        <v>1</v>
      </c>
      <c r="G21" s="3" t="s">
        <v>25</v>
      </c>
      <c r="H21" s="2" t="str">
        <f t="shared" si="0"/>
        <v>D</v>
      </c>
      <c r="J21">
        <v>3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3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3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4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0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3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2</v>
      </c>
      <c r="G32" s="3" t="s">
        <v>32</v>
      </c>
      <c r="H32" s="2" t="str">
        <f t="shared" si="0"/>
        <v>A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5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1</v>
      </c>
      <c r="G34" s="3" t="s">
        <v>40</v>
      </c>
      <c r="H34" s="2" t="str">
        <f t="shared" si="0"/>
        <v>D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3</v>
      </c>
      <c r="F35" s="4">
        <v>1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3</v>
      </c>
      <c r="F36" s="4">
        <v>1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4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1</v>
      </c>
      <c r="F38" s="4">
        <v>0</v>
      </c>
      <c r="G38" s="3" t="s">
        <v>39</v>
      </c>
      <c r="H38" s="2" t="str">
        <f t="shared" si="0"/>
        <v>H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3</v>
      </c>
      <c r="F40" s="4">
        <v>1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1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D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1</v>
      </c>
      <c r="F42" s="4">
        <v>1</v>
      </c>
      <c r="G42" s="3" t="s">
        <v>44</v>
      </c>
      <c r="H42" s="2" t="str">
        <f t="shared" si="1"/>
        <v>D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0</v>
      </c>
      <c r="G43" s="3" t="s">
        <v>45</v>
      </c>
      <c r="H43" s="2" t="str">
        <f t="shared" si="1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1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0</v>
      </c>
      <c r="F45" s="4">
        <v>0</v>
      </c>
      <c r="G45" s="3" t="s">
        <v>50</v>
      </c>
      <c r="H45" s="2" t="str">
        <f t="shared" si="1"/>
        <v>D</v>
      </c>
      <c r="J45">
        <v>1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0</v>
      </c>
      <c r="F46" s="4">
        <v>1</v>
      </c>
      <c r="G46" s="3" t="s">
        <v>52</v>
      </c>
      <c r="H46" s="2" t="str">
        <f t="shared" si="1"/>
        <v>A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1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2</v>
      </c>
      <c r="F49" s="4">
        <v>1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1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5</v>
      </c>
      <c r="F51" s="4">
        <v>1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3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1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0</v>
      </c>
      <c r="F56" s="4">
        <v>1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3</v>
      </c>
      <c r="F57" s="4">
        <v>1</v>
      </c>
      <c r="G57" s="3" t="s">
        <v>63</v>
      </c>
      <c r="H57" s="2" t="str">
        <f t="shared" si="1"/>
        <v>H</v>
      </c>
      <c r="J57">
        <v>3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1</v>
      </c>
      <c r="F58" s="4">
        <v>3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3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1</v>
      </c>
      <c r="F60" s="4">
        <v>1</v>
      </c>
      <c r="G60" s="3" t="s">
        <v>63</v>
      </c>
      <c r="H60" s="2" t="str">
        <f t="shared" si="1"/>
        <v>D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0</v>
      </c>
      <c r="F61" s="4">
        <v>1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3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2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2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4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3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4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1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3</v>
      </c>
      <c r="F72" s="4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3</v>
      </c>
      <c r="F76" s="4">
        <v>2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1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1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2</v>
      </c>
      <c r="G80" s="3" t="s">
        <v>83</v>
      </c>
      <c r="H80" s="2" t="str">
        <f t="shared" si="2"/>
        <v>D</v>
      </c>
      <c r="J80" s="54"/>
    </row>
    <row r="82" spans="10:10" x14ac:dyDescent="0.35">
      <c r="J82">
        <f>SUM(J8:J80)</f>
        <v>20</v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506F-E9D6-48E5-A541-28FF803414CB}">
  <sheetPr>
    <tabColor theme="8" tint="0.39997558519241921"/>
  </sheetPr>
  <dimension ref="A5:Q42"/>
  <sheetViews>
    <sheetView topLeftCell="A8" workbookViewId="0">
      <selection activeCell="M62" sqref="M62"/>
    </sheetView>
  </sheetViews>
  <sheetFormatPr defaultRowHeight="14.5" x14ac:dyDescent="0.35"/>
  <cols>
    <col min="1" max="1" width="3.26953125" customWidth="1"/>
    <col min="2" max="2" width="20.6328125" customWidth="1"/>
    <col min="3" max="3" width="1.7265625" customWidth="1"/>
    <col min="4" max="4" width="3.26953125" customWidth="1"/>
    <col min="5" max="5" width="20.6328125" customWidth="1"/>
    <col min="6" max="6" width="1.7265625" customWidth="1"/>
    <col min="7" max="7" width="3.26953125" customWidth="1"/>
    <col min="8" max="8" width="20.6328125" customWidth="1"/>
    <col min="9" max="9" width="1.7265625" customWidth="1"/>
    <col min="10" max="10" width="3.26953125" customWidth="1"/>
    <col min="11" max="11" width="20.6328125" customWidth="1"/>
    <col min="12" max="12" width="1.7265625" customWidth="1"/>
    <col min="13" max="13" width="3.26953125" customWidth="1"/>
    <col min="14" max="14" width="20.6328125" customWidth="1"/>
    <col min="15" max="15" width="1.7265625" customWidth="1"/>
    <col min="16" max="16" width="3.2695312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105</v>
      </c>
      <c r="G10" s="10">
        <v>1</v>
      </c>
      <c r="H10" s="11" t="s">
        <v>75</v>
      </c>
      <c r="J10" s="10">
        <v>1</v>
      </c>
      <c r="K10" s="11" t="s">
        <v>151</v>
      </c>
      <c r="M10" s="10">
        <v>1</v>
      </c>
      <c r="N10" s="11" t="s">
        <v>151</v>
      </c>
      <c r="P10" s="10">
        <v>1</v>
      </c>
      <c r="Q10" s="11" t="s">
        <v>151</v>
      </c>
    </row>
    <row r="11" spans="1:17" s="9" customFormat="1" x14ac:dyDescent="0.35">
      <c r="A11" s="10">
        <f t="shared" ref="A11:A41" si="0">A10+1</f>
        <v>2</v>
      </c>
      <c r="B11" s="11" t="s">
        <v>171</v>
      </c>
      <c r="D11" s="10">
        <f t="shared" ref="D11:D25" si="1">D10+1</f>
        <v>2</v>
      </c>
      <c r="E11" s="11" t="s">
        <v>92</v>
      </c>
      <c r="G11" s="10">
        <f t="shared" ref="G11:G17" si="2">G10+1</f>
        <v>2</v>
      </c>
      <c r="H11" s="11" t="s">
        <v>148</v>
      </c>
      <c r="J11" s="10">
        <f>J10+1</f>
        <v>2</v>
      </c>
      <c r="K11" s="11" t="s">
        <v>148</v>
      </c>
      <c r="M11" s="10">
        <f>M10+1</f>
        <v>2</v>
      </c>
      <c r="N11" s="11" t="s">
        <v>157</v>
      </c>
    </row>
    <row r="12" spans="1:17" s="9" customFormat="1" x14ac:dyDescent="0.35">
      <c r="A12" s="10">
        <f t="shared" si="0"/>
        <v>3</v>
      </c>
      <c r="B12" s="11" t="s">
        <v>169</v>
      </c>
      <c r="D12" s="10">
        <f t="shared" si="1"/>
        <v>3</v>
      </c>
      <c r="E12" s="11" t="s">
        <v>96</v>
      </c>
      <c r="G12" s="10">
        <f t="shared" si="2"/>
        <v>3</v>
      </c>
      <c r="H12" s="11" t="s">
        <v>96</v>
      </c>
      <c r="J12" s="10">
        <f>J11+1</f>
        <v>3</v>
      </c>
      <c r="K12" s="11" t="s">
        <v>157</v>
      </c>
    </row>
    <row r="13" spans="1:17" s="9" customFormat="1" x14ac:dyDescent="0.35">
      <c r="A13" s="10">
        <f t="shared" si="0"/>
        <v>4</v>
      </c>
      <c r="B13" s="11" t="s">
        <v>162</v>
      </c>
      <c r="D13" s="10">
        <f t="shared" si="1"/>
        <v>4</v>
      </c>
      <c r="E13" s="11" t="s">
        <v>101</v>
      </c>
      <c r="G13" s="10">
        <f t="shared" si="2"/>
        <v>4</v>
      </c>
      <c r="H13" s="11" t="s">
        <v>99</v>
      </c>
      <c r="J13" s="10">
        <f>J12+1</f>
        <v>4</v>
      </c>
      <c r="K13" s="11" t="s">
        <v>194</v>
      </c>
    </row>
    <row r="14" spans="1:17" s="9" customFormat="1" x14ac:dyDescent="0.35">
      <c r="A14" s="10">
        <f t="shared" si="0"/>
        <v>5</v>
      </c>
      <c r="B14" s="11" t="s">
        <v>167</v>
      </c>
      <c r="D14" s="10">
        <f t="shared" si="1"/>
        <v>5</v>
      </c>
      <c r="E14" s="11" t="s">
        <v>99</v>
      </c>
      <c r="G14" s="10">
        <f t="shared" si="2"/>
        <v>5</v>
      </c>
      <c r="H14" s="11" t="s">
        <v>106</v>
      </c>
    </row>
    <row r="15" spans="1:17" s="9" customFormat="1" x14ac:dyDescent="0.35">
      <c r="A15" s="10">
        <f t="shared" si="0"/>
        <v>6</v>
      </c>
      <c r="B15" s="11" t="s">
        <v>30</v>
      </c>
      <c r="D15" s="10">
        <f t="shared" si="1"/>
        <v>6</v>
      </c>
      <c r="E15" s="11" t="s">
        <v>138</v>
      </c>
      <c r="G15" s="10">
        <f t="shared" si="2"/>
        <v>6</v>
      </c>
      <c r="H15" s="11" t="s">
        <v>101</v>
      </c>
    </row>
    <row r="16" spans="1:17" s="9" customFormat="1" x14ac:dyDescent="0.35">
      <c r="A16" s="10">
        <f t="shared" si="0"/>
        <v>7</v>
      </c>
      <c r="B16" s="11" t="s">
        <v>33</v>
      </c>
      <c r="D16" s="10">
        <f t="shared" si="1"/>
        <v>7</v>
      </c>
      <c r="E16" s="11" t="s">
        <v>193</v>
      </c>
      <c r="G16" s="10">
        <f t="shared" si="2"/>
        <v>7</v>
      </c>
      <c r="H16" s="11" t="s">
        <v>138</v>
      </c>
    </row>
    <row r="17" spans="1:11" s="9" customFormat="1" x14ac:dyDescent="0.35">
      <c r="A17" s="10">
        <f t="shared" si="0"/>
        <v>8</v>
      </c>
      <c r="B17" s="11" t="s">
        <v>165</v>
      </c>
      <c r="D17" s="10">
        <f t="shared" si="1"/>
        <v>8</v>
      </c>
      <c r="E17" s="11" t="s">
        <v>155</v>
      </c>
      <c r="G17" s="10">
        <f t="shared" si="2"/>
        <v>8</v>
      </c>
      <c r="H17" s="11" t="s">
        <v>192</v>
      </c>
    </row>
    <row r="18" spans="1:11" s="9" customFormat="1" x14ac:dyDescent="0.35">
      <c r="A18" s="10">
        <f t="shared" si="0"/>
        <v>9</v>
      </c>
      <c r="B18" s="11" t="s">
        <v>40</v>
      </c>
      <c r="D18" s="10">
        <f t="shared" si="1"/>
        <v>9</v>
      </c>
      <c r="E18" s="11" t="s">
        <v>78</v>
      </c>
    </row>
    <row r="19" spans="1:11" s="9" customFormat="1" x14ac:dyDescent="0.35">
      <c r="A19" s="10">
        <f t="shared" si="0"/>
        <v>10</v>
      </c>
      <c r="B19" s="11" t="s">
        <v>146</v>
      </c>
      <c r="D19" s="10">
        <f t="shared" si="1"/>
        <v>10</v>
      </c>
      <c r="E19" s="11" t="s">
        <v>175</v>
      </c>
    </row>
    <row r="20" spans="1:11" s="9" customFormat="1" x14ac:dyDescent="0.35">
      <c r="A20" s="10">
        <f t="shared" si="0"/>
        <v>11</v>
      </c>
      <c r="B20" s="11" t="s">
        <v>45</v>
      </c>
      <c r="D20" s="10">
        <f t="shared" si="1"/>
        <v>11</v>
      </c>
      <c r="E20" s="11" t="s">
        <v>63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158</v>
      </c>
      <c r="D21" s="10">
        <f t="shared" si="1"/>
        <v>12</v>
      </c>
      <c r="E21" s="11" t="s">
        <v>59</v>
      </c>
    </row>
    <row r="22" spans="1:11" s="9" customFormat="1" x14ac:dyDescent="0.35">
      <c r="A22" s="10">
        <f t="shared" si="0"/>
        <v>13</v>
      </c>
      <c r="B22" s="11" t="s">
        <v>160</v>
      </c>
      <c r="D22" s="10">
        <f t="shared" si="1"/>
        <v>13</v>
      </c>
      <c r="E22" s="11" t="s">
        <v>10</v>
      </c>
      <c r="H22" s="9" t="s">
        <v>113</v>
      </c>
      <c r="K22" s="11" t="s">
        <v>191</v>
      </c>
    </row>
    <row r="23" spans="1:11" s="9" customFormat="1" x14ac:dyDescent="0.35">
      <c r="A23" s="10">
        <f t="shared" si="0"/>
        <v>14</v>
      </c>
      <c r="B23" s="11" t="s">
        <v>157</v>
      </c>
      <c r="D23" s="10">
        <f t="shared" si="1"/>
        <v>14</v>
      </c>
      <c r="E23" s="11" t="s">
        <v>150</v>
      </c>
      <c r="H23" s="9" t="s">
        <v>116</v>
      </c>
      <c r="K23" s="11" t="s">
        <v>10</v>
      </c>
    </row>
    <row r="24" spans="1:11" s="9" customFormat="1" x14ac:dyDescent="0.35">
      <c r="A24" s="10">
        <f t="shared" si="0"/>
        <v>15</v>
      </c>
      <c r="B24" s="11" t="s">
        <v>59</v>
      </c>
      <c r="D24" s="10">
        <f t="shared" si="1"/>
        <v>15</v>
      </c>
      <c r="E24" s="11" t="s">
        <v>173</v>
      </c>
      <c r="H24" s="9" t="s">
        <v>119</v>
      </c>
      <c r="K24" s="11" t="s">
        <v>190</v>
      </c>
    </row>
    <row r="25" spans="1:11" s="9" customFormat="1" x14ac:dyDescent="0.35">
      <c r="A25" s="10">
        <f t="shared" si="0"/>
        <v>16</v>
      </c>
      <c r="B25" s="11" t="s">
        <v>148</v>
      </c>
      <c r="D25" s="10">
        <f t="shared" si="1"/>
        <v>16</v>
      </c>
      <c r="E25" s="11" t="s">
        <v>44</v>
      </c>
    </row>
    <row r="26" spans="1:11" s="9" customFormat="1" x14ac:dyDescent="0.35">
      <c r="A26" s="10">
        <f t="shared" si="0"/>
        <v>17</v>
      </c>
      <c r="B26" s="11" t="s">
        <v>156</v>
      </c>
      <c r="H26" s="9" t="s">
        <v>122</v>
      </c>
      <c r="K26" s="13">
        <v>299</v>
      </c>
    </row>
    <row r="27" spans="1:11" s="9" customFormat="1" x14ac:dyDescent="0.35">
      <c r="A27" s="10">
        <f t="shared" si="0"/>
        <v>18</v>
      </c>
      <c r="B27" s="11" t="s">
        <v>155</v>
      </c>
      <c r="H27" s="9" t="s">
        <v>124</v>
      </c>
    </row>
    <row r="28" spans="1:11" x14ac:dyDescent="0.35">
      <c r="A28" s="10">
        <f t="shared" si="0"/>
        <v>19</v>
      </c>
      <c r="B28" s="11" t="s">
        <v>175</v>
      </c>
    </row>
    <row r="29" spans="1:11" x14ac:dyDescent="0.35">
      <c r="A29" s="10">
        <f t="shared" si="0"/>
        <v>20</v>
      </c>
      <c r="B29" s="11" t="s">
        <v>189</v>
      </c>
    </row>
    <row r="30" spans="1:11" x14ac:dyDescent="0.35">
      <c r="A30" s="10">
        <f t="shared" si="0"/>
        <v>21</v>
      </c>
      <c r="B30" s="11" t="s">
        <v>75</v>
      </c>
    </row>
    <row r="31" spans="1:11" x14ac:dyDescent="0.35">
      <c r="A31" s="10">
        <f t="shared" si="0"/>
        <v>22</v>
      </c>
      <c r="B31" s="11" t="s">
        <v>151</v>
      </c>
    </row>
    <row r="32" spans="1:11" x14ac:dyDescent="0.35">
      <c r="A32" s="10">
        <f t="shared" si="0"/>
        <v>23</v>
      </c>
      <c r="B32" s="11" t="s">
        <v>150</v>
      </c>
    </row>
    <row r="33" spans="1:2" x14ac:dyDescent="0.35">
      <c r="A33" s="10">
        <f t="shared" si="0"/>
        <v>24</v>
      </c>
      <c r="B33" s="11" t="s">
        <v>173</v>
      </c>
    </row>
    <row r="34" spans="1:2" x14ac:dyDescent="0.35">
      <c r="A34" s="10">
        <f t="shared" si="0"/>
        <v>25</v>
      </c>
      <c r="B34" s="11" t="s">
        <v>166</v>
      </c>
    </row>
    <row r="35" spans="1:2" x14ac:dyDescent="0.35">
      <c r="A35" s="10">
        <f t="shared" si="0"/>
        <v>26</v>
      </c>
      <c r="B35" s="11" t="s">
        <v>63</v>
      </c>
    </row>
    <row r="36" spans="1:2" x14ac:dyDescent="0.35">
      <c r="A36" s="10">
        <f t="shared" si="0"/>
        <v>27</v>
      </c>
      <c r="B36" s="11" t="s">
        <v>83</v>
      </c>
    </row>
    <row r="37" spans="1:2" x14ac:dyDescent="0.35">
      <c r="A37" s="10">
        <f t="shared" si="0"/>
        <v>28</v>
      </c>
      <c r="B37" s="11" t="s">
        <v>154</v>
      </c>
    </row>
    <row r="38" spans="1:2" x14ac:dyDescent="0.35">
      <c r="A38" s="10">
        <f t="shared" si="0"/>
        <v>29</v>
      </c>
      <c r="B38" s="11" t="s">
        <v>188</v>
      </c>
    </row>
    <row r="39" spans="1:2" x14ac:dyDescent="0.35">
      <c r="A39" s="10">
        <f t="shared" si="0"/>
        <v>30</v>
      </c>
      <c r="B39" s="11" t="s">
        <v>44</v>
      </c>
    </row>
    <row r="40" spans="1:2" x14ac:dyDescent="0.35">
      <c r="A40" s="10">
        <f t="shared" si="0"/>
        <v>31</v>
      </c>
      <c r="B40" s="11" t="s">
        <v>168</v>
      </c>
    </row>
    <row r="41" spans="1:2" x14ac:dyDescent="0.35">
      <c r="A41" s="10">
        <f t="shared" si="0"/>
        <v>32</v>
      </c>
      <c r="B41" s="11" t="s">
        <v>18</v>
      </c>
    </row>
    <row r="42" spans="1:2" x14ac:dyDescent="0.35">
      <c r="A42" s="10"/>
    </row>
  </sheetData>
  <pageMargins left="0.75" right="0.75" top="1" bottom="1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25A8-B900-44C3-A72E-061419CF61C3}">
  <sheetPr>
    <tabColor theme="8" tint="0.39997558519241921"/>
  </sheetPr>
  <dimension ref="A6:J82"/>
  <sheetViews>
    <sheetView topLeftCell="A63" workbookViewId="0">
      <selection activeCell="J81" sqref="J81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1</v>
      </c>
      <c r="G9" s="3" t="s">
        <v>11</v>
      </c>
      <c r="H9" s="2" t="str">
        <f t="shared" ref="H9:H55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2</v>
      </c>
      <c r="G10" s="3" t="s">
        <v>13</v>
      </c>
      <c r="H10" s="2" t="str">
        <f t="shared" si="0"/>
        <v>A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1</v>
      </c>
      <c r="G12" s="3" t="s">
        <v>12</v>
      </c>
      <c r="H12" s="2" t="str">
        <f t="shared" si="0"/>
        <v>D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2</v>
      </c>
      <c r="F13" s="4">
        <v>1</v>
      </c>
      <c r="G13" s="3" t="s">
        <v>10</v>
      </c>
      <c r="H13" s="2" t="str">
        <f t="shared" si="0"/>
        <v>H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1</v>
      </c>
      <c r="G14" s="3" t="s">
        <v>12</v>
      </c>
      <c r="H14" s="2" t="str">
        <f t="shared" si="0"/>
        <v>D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1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1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0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2</v>
      </c>
      <c r="F19" s="4">
        <v>2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0</v>
      </c>
      <c r="F20" s="4">
        <v>0</v>
      </c>
      <c r="G20" s="3" t="s">
        <v>21</v>
      </c>
      <c r="H20" s="2" t="str">
        <f t="shared" si="0"/>
        <v>D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3</v>
      </c>
      <c r="F21" s="4">
        <v>2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1</v>
      </c>
      <c r="F22" s="4">
        <v>1</v>
      </c>
      <c r="G22" s="3" t="s">
        <v>27</v>
      </c>
      <c r="H22" s="2" t="str">
        <f t="shared" si="0"/>
        <v>D</v>
      </c>
      <c r="J22">
        <v>0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0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0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0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1</v>
      </c>
      <c r="G28" s="3" t="s">
        <v>33</v>
      </c>
      <c r="H28" s="2" t="str">
        <f t="shared" si="0"/>
        <v>D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2</v>
      </c>
      <c r="G31" s="3" t="s">
        <v>30</v>
      </c>
      <c r="H31" s="2" t="str">
        <f t="shared" si="0"/>
        <v>A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0</v>
      </c>
      <c r="F34" s="4">
        <v>1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3</v>
      </c>
      <c r="F35" s="4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1</v>
      </c>
      <c r="F36" s="4">
        <v>1</v>
      </c>
      <c r="G36" s="3" t="s">
        <v>38</v>
      </c>
      <c r="H36" s="2" t="str">
        <f t="shared" si="0"/>
        <v>D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0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1</v>
      </c>
      <c r="F38" s="4">
        <v>0</v>
      </c>
      <c r="G38" s="3" t="s">
        <v>39</v>
      </c>
      <c r="H38" s="2" t="str">
        <f t="shared" si="0"/>
        <v>H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1</v>
      </c>
      <c r="G40" s="3" t="s">
        <v>46</v>
      </c>
      <c r="H40" s="2" t="str">
        <f t="shared" si="0"/>
        <v>D</v>
      </c>
      <c r="J40">
        <v>0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0</v>
      </c>
      <c r="G41" s="3" t="s">
        <v>45</v>
      </c>
      <c r="H41" s="2" t="str">
        <f t="shared" si="0"/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3</v>
      </c>
      <c r="G42" s="3" t="s">
        <v>44</v>
      </c>
      <c r="H42" s="2" t="str">
        <f t="shared" si="0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2</v>
      </c>
      <c r="G43" s="3" t="s">
        <v>45</v>
      </c>
      <c r="H43" s="2" t="str">
        <f t="shared" si="0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4</v>
      </c>
      <c r="G44" s="3" t="s">
        <v>43</v>
      </c>
      <c r="H44" s="2" t="str">
        <f t="shared" si="0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2</v>
      </c>
      <c r="G45" s="3" t="s">
        <v>50</v>
      </c>
      <c r="H45" s="2" t="str">
        <f t="shared" si="0"/>
        <v>D</v>
      </c>
      <c r="J45">
        <v>1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1</v>
      </c>
      <c r="G46" s="3" t="s">
        <v>52</v>
      </c>
      <c r="H46" s="2" t="str">
        <f t="shared" si="0"/>
        <v>D</v>
      </c>
      <c r="J46">
        <v>1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0</v>
      </c>
      <c r="G47" s="3" t="s">
        <v>51</v>
      </c>
      <c r="H47" s="2" t="str">
        <f t="shared" si="0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3</v>
      </c>
      <c r="G48" s="3" t="s">
        <v>50</v>
      </c>
      <c r="H48" s="2" t="str">
        <f t="shared" si="0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3</v>
      </c>
      <c r="F49" s="4">
        <v>3</v>
      </c>
      <c r="G49" s="3" t="s">
        <v>51</v>
      </c>
      <c r="H49" s="2" t="str">
        <f t="shared" si="0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3</v>
      </c>
      <c r="G50" s="3" t="s">
        <v>49</v>
      </c>
      <c r="H50" s="2" t="str">
        <f t="shared" si="0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0"/>
        <v>H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2</v>
      </c>
      <c r="G52" s="3" t="s">
        <v>59</v>
      </c>
      <c r="H52" s="2" t="str">
        <f t="shared" si="0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3</v>
      </c>
      <c r="F53" s="4">
        <v>1</v>
      </c>
      <c r="G53" s="3" t="s">
        <v>58</v>
      </c>
      <c r="H53" s="2" t="str">
        <f t="shared" si="0"/>
        <v>H</v>
      </c>
      <c r="J53">
        <v>0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0</v>
      </c>
      <c r="G54" s="3" t="s">
        <v>57</v>
      </c>
      <c r="H54" s="2" t="str">
        <f t="shared" si="0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2</v>
      </c>
      <c r="G55" s="3" t="s">
        <v>58</v>
      </c>
      <c r="H55" s="2" t="str">
        <f t="shared" si="0"/>
        <v>A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2</v>
      </c>
      <c r="F56" s="4">
        <v>2</v>
      </c>
      <c r="G56" s="3" t="s">
        <v>56</v>
      </c>
      <c r="H56" s="2" t="e">
        <f>IF(AND(#REF!&lt;&gt;"",F56&lt;&gt;""),IF(#REF!&gt;F56,"H",IF(#REF!&lt;F56,"A","D")),"")</f>
        <v>#REF!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30">
        <v>3</v>
      </c>
      <c r="F57" s="4">
        <v>0</v>
      </c>
      <c r="G57" s="3" t="s">
        <v>63</v>
      </c>
      <c r="H57" s="2" t="str">
        <f>IF(AND(E56&lt;&gt;"",F57&lt;&gt;""),IF(E56&gt;F57,"H",IF(E56&lt;F57,"A","D")),"")</f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ref="H58:H80" si="1">IF(AND(E58&lt;&gt;"",F58&lt;&gt;""),IF(E58&gt;F58,"H",IF(E58&lt;F58,"A","D")),"")</f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5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0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2</v>
      </c>
      <c r="F61" s="4">
        <v>3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0</v>
      </c>
      <c r="F62" s="4">
        <v>0</v>
      </c>
      <c r="G62" s="3" t="s">
        <v>64</v>
      </c>
      <c r="H62" s="2" t="str">
        <f t="shared" si="1"/>
        <v>D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3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1</v>
      </c>
      <c r="F66" s="4">
        <v>1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0</v>
      </c>
      <c r="F67" s="4">
        <v>1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2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0</v>
      </c>
      <c r="F70" s="4">
        <v>1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1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2</v>
      </c>
      <c r="G73" s="3" t="s">
        <v>75</v>
      </c>
      <c r="H73" s="2" t="str">
        <f t="shared" si="1"/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0</v>
      </c>
      <c r="F74" s="4">
        <v>0</v>
      </c>
      <c r="G74" s="3" t="s">
        <v>77</v>
      </c>
      <c r="H74" s="2" t="str">
        <f t="shared" si="1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3</v>
      </c>
      <c r="F75" s="4">
        <v>1</v>
      </c>
      <c r="G75" s="3" t="s">
        <v>82</v>
      </c>
      <c r="H75" s="2" t="str">
        <f t="shared" si="1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2</v>
      </c>
      <c r="G76" s="3" t="s">
        <v>84</v>
      </c>
      <c r="H76" s="2" t="str">
        <f t="shared" si="1"/>
        <v>D</v>
      </c>
      <c r="J76">
        <v>0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3</v>
      </c>
      <c r="F77" s="4">
        <v>0</v>
      </c>
      <c r="G77" s="3" t="s">
        <v>83</v>
      </c>
      <c r="H77" s="2" t="str">
        <f t="shared" si="1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1</v>
      </c>
      <c r="G78" s="3" t="s">
        <v>82</v>
      </c>
      <c r="H78" s="2" t="str">
        <f t="shared" si="1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2</v>
      </c>
      <c r="G79" s="3" t="s">
        <v>81</v>
      </c>
      <c r="H79" s="2" t="str">
        <f t="shared" si="1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0</v>
      </c>
      <c r="G80" s="3" t="s">
        <v>83</v>
      </c>
      <c r="H80" s="2" t="str">
        <f t="shared" si="1"/>
        <v>H</v>
      </c>
      <c r="J80" s="54"/>
    </row>
    <row r="82" spans="10:10" x14ac:dyDescent="0.35">
      <c r="J82">
        <f>SUM(J8:J80)</f>
        <v>11</v>
      </c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50A0-886A-40E6-82CC-C167E8CD5EA5}">
  <sheetPr>
    <tabColor theme="8" tint="0.39997558519241921"/>
  </sheetPr>
  <dimension ref="A5:Q42"/>
  <sheetViews>
    <sheetView topLeftCell="A21" workbookViewId="0">
      <selection activeCell="F36" sqref="F36"/>
    </sheetView>
  </sheetViews>
  <sheetFormatPr defaultColWidth="8.7265625" defaultRowHeight="14.5" x14ac:dyDescent="0.35"/>
  <cols>
    <col min="1" max="1" width="3.26953125" customWidth="1"/>
    <col min="2" max="2" width="20.54296875" customWidth="1"/>
    <col min="3" max="3" width="1.7265625" customWidth="1"/>
    <col min="4" max="4" width="3.26953125" customWidth="1"/>
    <col min="5" max="5" width="20.54296875" customWidth="1"/>
    <col min="6" max="6" width="1.7265625" customWidth="1"/>
    <col min="7" max="7" width="3.26953125" customWidth="1"/>
    <col min="8" max="8" width="20.54296875" customWidth="1"/>
    <col min="9" max="9" width="1.7265625" customWidth="1"/>
    <col min="10" max="10" width="3.26953125" customWidth="1"/>
    <col min="11" max="11" width="20.54296875" customWidth="1"/>
    <col min="12" max="12" width="1.7265625" customWidth="1"/>
    <col min="13" max="13" width="3.26953125" customWidth="1"/>
    <col min="14" max="14" width="20.54296875" customWidth="1"/>
    <col min="15" max="15" width="1.7265625" customWidth="1"/>
    <col min="16" max="16" width="3.26953125" customWidth="1"/>
    <col min="17" max="17" width="20.5429687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187</v>
      </c>
      <c r="D10" s="10">
        <v>1</v>
      </c>
      <c r="E10" s="11" t="s">
        <v>62</v>
      </c>
      <c r="G10" s="10">
        <v>1</v>
      </c>
      <c r="H10" s="11" t="s">
        <v>56</v>
      </c>
      <c r="J10" s="10">
        <v>1</v>
      </c>
      <c r="K10" s="11" t="s">
        <v>56</v>
      </c>
      <c r="M10" s="10">
        <v>1</v>
      </c>
      <c r="N10" s="11" t="s">
        <v>56</v>
      </c>
      <c r="P10" s="10">
        <v>1</v>
      </c>
      <c r="Q10" s="11" t="s">
        <v>62</v>
      </c>
    </row>
    <row r="11" spans="1:17" s="9" customFormat="1" x14ac:dyDescent="0.35">
      <c r="A11" s="10">
        <f t="shared" ref="A11:A41" si="0">A10+1</f>
        <v>2</v>
      </c>
      <c r="B11" s="11" t="s">
        <v>10</v>
      </c>
      <c r="D11" s="10">
        <f t="shared" ref="D11:D25" si="1">D10+1</f>
        <v>2</v>
      </c>
      <c r="E11" s="11" t="s">
        <v>56</v>
      </c>
      <c r="G11" s="10">
        <f t="shared" ref="G11:G17" si="2">G10+1</f>
        <v>2</v>
      </c>
      <c r="H11" s="11" t="s">
        <v>62</v>
      </c>
      <c r="J11" s="10">
        <f>J10+1</f>
        <v>2</v>
      </c>
      <c r="K11" s="11" t="s">
        <v>62</v>
      </c>
      <c r="M11" s="10">
        <f>M10+1</f>
        <v>2</v>
      </c>
      <c r="N11" s="11" t="s">
        <v>62</v>
      </c>
    </row>
    <row r="12" spans="1:17" s="9" customFormat="1" x14ac:dyDescent="0.35">
      <c r="A12" s="10">
        <f t="shared" si="0"/>
        <v>3</v>
      </c>
      <c r="B12" s="11" t="s">
        <v>203</v>
      </c>
      <c r="D12" s="10">
        <f t="shared" si="1"/>
        <v>3</v>
      </c>
      <c r="E12" s="11" t="s">
        <v>146</v>
      </c>
      <c r="G12" s="10">
        <f t="shared" si="2"/>
        <v>3</v>
      </c>
      <c r="H12" s="11" t="s">
        <v>201</v>
      </c>
      <c r="J12" s="10">
        <f>J11+1</f>
        <v>3</v>
      </c>
      <c r="K12" s="11" t="s">
        <v>146</v>
      </c>
    </row>
    <row r="13" spans="1:17" s="9" customFormat="1" x14ac:dyDescent="0.35">
      <c r="A13" s="10">
        <f t="shared" si="0"/>
        <v>4</v>
      </c>
      <c r="B13" s="11" t="s">
        <v>98</v>
      </c>
      <c r="D13" s="10">
        <f t="shared" si="1"/>
        <v>4</v>
      </c>
      <c r="E13" s="11" t="s">
        <v>201</v>
      </c>
      <c r="G13" s="10">
        <f t="shared" si="2"/>
        <v>4</v>
      </c>
      <c r="H13" s="11" t="s">
        <v>146</v>
      </c>
      <c r="J13" s="10">
        <f>J12+1</f>
        <v>4</v>
      </c>
      <c r="K13" s="11" t="s">
        <v>44</v>
      </c>
    </row>
    <row r="14" spans="1:17" s="9" customFormat="1" x14ac:dyDescent="0.35">
      <c r="A14" s="10">
        <f t="shared" si="0"/>
        <v>5</v>
      </c>
      <c r="B14" s="11" t="s">
        <v>200</v>
      </c>
      <c r="D14" s="10">
        <f t="shared" si="1"/>
        <v>5</v>
      </c>
      <c r="E14" s="11" t="s">
        <v>44</v>
      </c>
      <c r="G14" s="10">
        <f t="shared" si="2"/>
        <v>5</v>
      </c>
      <c r="H14" s="9" t="s">
        <v>81</v>
      </c>
    </row>
    <row r="15" spans="1:17" s="9" customFormat="1" x14ac:dyDescent="0.35">
      <c r="A15" s="10">
        <f t="shared" si="0"/>
        <v>6</v>
      </c>
      <c r="B15" s="11" t="s">
        <v>25</v>
      </c>
      <c r="D15" s="10">
        <f t="shared" si="1"/>
        <v>6</v>
      </c>
      <c r="E15" s="9" t="s">
        <v>25</v>
      </c>
      <c r="G15" s="10">
        <f t="shared" si="2"/>
        <v>6</v>
      </c>
      <c r="H15" s="11" t="s">
        <v>200</v>
      </c>
    </row>
    <row r="16" spans="1:17" s="9" customFormat="1" x14ac:dyDescent="0.35">
      <c r="A16" s="10">
        <f t="shared" si="0"/>
        <v>7</v>
      </c>
      <c r="B16" s="11" t="s">
        <v>30</v>
      </c>
      <c r="D16" s="10">
        <f t="shared" si="1"/>
        <v>7</v>
      </c>
      <c r="E16" s="9" t="s">
        <v>65</v>
      </c>
      <c r="G16" s="10">
        <f t="shared" si="2"/>
        <v>7</v>
      </c>
      <c r="H16" s="11" t="s">
        <v>202</v>
      </c>
    </row>
    <row r="17" spans="1:11" s="9" customFormat="1" x14ac:dyDescent="0.35">
      <c r="A17" s="10">
        <f t="shared" si="0"/>
        <v>8</v>
      </c>
      <c r="B17" s="11" t="s">
        <v>33</v>
      </c>
      <c r="D17" s="10">
        <f t="shared" si="1"/>
        <v>8</v>
      </c>
      <c r="E17" s="11" t="s">
        <v>81</v>
      </c>
      <c r="G17" s="10">
        <f t="shared" si="2"/>
        <v>8</v>
      </c>
      <c r="H17" s="11" t="s">
        <v>44</v>
      </c>
    </row>
    <row r="18" spans="1:11" s="9" customFormat="1" x14ac:dyDescent="0.35">
      <c r="A18" s="10">
        <f t="shared" si="0"/>
        <v>9</v>
      </c>
      <c r="B18" s="11" t="s">
        <v>201</v>
      </c>
      <c r="D18" s="10">
        <f t="shared" si="1"/>
        <v>9</v>
      </c>
      <c r="E18" s="11" t="s">
        <v>75</v>
      </c>
    </row>
    <row r="19" spans="1:11" s="9" customFormat="1" x14ac:dyDescent="0.35">
      <c r="A19" s="10">
        <f t="shared" si="0"/>
        <v>10</v>
      </c>
      <c r="B19" s="11" t="s">
        <v>40</v>
      </c>
      <c r="D19" s="10">
        <f t="shared" si="1"/>
        <v>10</v>
      </c>
      <c r="E19" s="11" t="s">
        <v>82</v>
      </c>
    </row>
    <row r="20" spans="1:11" s="9" customFormat="1" x14ac:dyDescent="0.35">
      <c r="A20" s="10">
        <f t="shared" si="0"/>
        <v>11</v>
      </c>
      <c r="B20" s="11" t="s">
        <v>146</v>
      </c>
      <c r="D20" s="10">
        <f t="shared" si="1"/>
        <v>11</v>
      </c>
      <c r="E20" s="11" t="s">
        <v>200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44</v>
      </c>
      <c r="D21" s="10">
        <f t="shared" si="1"/>
        <v>12</v>
      </c>
      <c r="E21" s="11" t="s">
        <v>49</v>
      </c>
    </row>
    <row r="22" spans="1:11" s="9" customFormat="1" x14ac:dyDescent="0.35">
      <c r="A22" s="10">
        <f t="shared" si="0"/>
        <v>13</v>
      </c>
      <c r="B22" s="11" t="s">
        <v>49</v>
      </c>
      <c r="D22" s="10">
        <f t="shared" si="1"/>
        <v>13</v>
      </c>
      <c r="E22" s="11" t="s">
        <v>59</v>
      </c>
      <c r="H22" s="9" t="s">
        <v>113</v>
      </c>
      <c r="K22" s="11" t="s">
        <v>199</v>
      </c>
    </row>
    <row r="23" spans="1:11" s="9" customFormat="1" x14ac:dyDescent="0.35">
      <c r="A23" s="10">
        <f t="shared" si="0"/>
        <v>14</v>
      </c>
      <c r="B23" s="11" t="s">
        <v>158</v>
      </c>
      <c r="D23" s="10">
        <f t="shared" si="1"/>
        <v>14</v>
      </c>
      <c r="E23" s="11" t="s">
        <v>30</v>
      </c>
      <c r="H23" s="9" t="s">
        <v>116</v>
      </c>
      <c r="K23" s="11" t="s">
        <v>69</v>
      </c>
    </row>
    <row r="24" spans="1:11" s="9" customFormat="1" x14ac:dyDescent="0.35">
      <c r="A24" s="10">
        <f t="shared" si="0"/>
        <v>15</v>
      </c>
      <c r="B24" s="11" t="s">
        <v>56</v>
      </c>
      <c r="D24" s="10">
        <f t="shared" si="1"/>
        <v>15</v>
      </c>
      <c r="E24" s="11" t="s">
        <v>198</v>
      </c>
      <c r="H24" s="9" t="s">
        <v>119</v>
      </c>
      <c r="K24" s="11" t="s">
        <v>197</v>
      </c>
    </row>
    <row r="25" spans="1:11" s="9" customFormat="1" x14ac:dyDescent="0.35">
      <c r="A25" s="10">
        <f t="shared" si="0"/>
        <v>16</v>
      </c>
      <c r="B25" s="11" t="s">
        <v>59</v>
      </c>
      <c r="D25" s="10">
        <f t="shared" si="1"/>
        <v>16</v>
      </c>
      <c r="E25" s="11" t="s">
        <v>40</v>
      </c>
    </row>
    <row r="26" spans="1:11" s="9" customFormat="1" x14ac:dyDescent="0.35">
      <c r="A26" s="10">
        <f t="shared" si="0"/>
        <v>17</v>
      </c>
      <c r="B26" s="11" t="s">
        <v>62</v>
      </c>
      <c r="H26" s="9" t="s">
        <v>122</v>
      </c>
      <c r="K26" s="13"/>
    </row>
    <row r="27" spans="1:11" s="9" customFormat="1" x14ac:dyDescent="0.35">
      <c r="A27" s="10">
        <f t="shared" si="0"/>
        <v>18</v>
      </c>
      <c r="B27" s="11" t="s">
        <v>65</v>
      </c>
      <c r="H27" s="9" t="s">
        <v>124</v>
      </c>
    </row>
    <row r="28" spans="1:11" x14ac:dyDescent="0.35">
      <c r="A28" s="10">
        <f t="shared" si="0"/>
        <v>19</v>
      </c>
      <c r="B28" s="11" t="s">
        <v>68</v>
      </c>
    </row>
    <row r="29" spans="1:11" x14ac:dyDescent="0.35">
      <c r="A29" s="10">
        <f t="shared" si="0"/>
        <v>20</v>
      </c>
      <c r="B29" s="11" t="s">
        <v>70</v>
      </c>
    </row>
    <row r="30" spans="1:11" x14ac:dyDescent="0.35">
      <c r="A30" s="10">
        <f t="shared" si="0"/>
        <v>21</v>
      </c>
      <c r="B30" s="11" t="s">
        <v>75</v>
      </c>
    </row>
    <row r="31" spans="1:11" x14ac:dyDescent="0.35">
      <c r="A31" s="10">
        <f t="shared" si="0"/>
        <v>22</v>
      </c>
      <c r="B31" s="11" t="s">
        <v>78</v>
      </c>
    </row>
    <row r="32" spans="1:11" x14ac:dyDescent="0.35">
      <c r="A32" s="10">
        <f t="shared" si="0"/>
        <v>23</v>
      </c>
      <c r="B32" s="11" t="s">
        <v>81</v>
      </c>
    </row>
    <row r="33" spans="1:2" x14ac:dyDescent="0.35">
      <c r="A33" s="10">
        <f t="shared" si="0"/>
        <v>24</v>
      </c>
      <c r="B33" s="11" t="s">
        <v>82</v>
      </c>
    </row>
    <row r="34" spans="1:2" x14ac:dyDescent="0.35">
      <c r="A34" s="10">
        <f t="shared" si="0"/>
        <v>25</v>
      </c>
      <c r="B34" s="11" t="s">
        <v>196</v>
      </c>
    </row>
    <row r="35" spans="1:2" x14ac:dyDescent="0.35">
      <c r="A35" s="10">
        <f t="shared" si="0"/>
        <v>26</v>
      </c>
      <c r="B35" s="11" t="s">
        <v>45</v>
      </c>
    </row>
    <row r="36" spans="1:2" x14ac:dyDescent="0.35">
      <c r="A36" s="10">
        <f t="shared" si="0"/>
        <v>27</v>
      </c>
      <c r="B36" s="11" t="s">
        <v>77</v>
      </c>
    </row>
    <row r="37" spans="1:2" x14ac:dyDescent="0.35">
      <c r="A37" s="10">
        <f t="shared" si="0"/>
        <v>28</v>
      </c>
      <c r="B37" s="11" t="s">
        <v>52</v>
      </c>
    </row>
    <row r="38" spans="1:2" x14ac:dyDescent="0.35">
      <c r="A38" s="10">
        <f t="shared" si="0"/>
        <v>29</v>
      </c>
      <c r="B38" s="11" t="s">
        <v>12</v>
      </c>
    </row>
    <row r="39" spans="1:2" x14ac:dyDescent="0.35">
      <c r="A39" s="10">
        <f t="shared" si="0"/>
        <v>30</v>
      </c>
      <c r="B39" s="11" t="s">
        <v>195</v>
      </c>
    </row>
    <row r="40" spans="1:2" x14ac:dyDescent="0.35">
      <c r="A40" s="10">
        <f t="shared" si="0"/>
        <v>31</v>
      </c>
      <c r="B40" s="11" t="s">
        <v>83</v>
      </c>
    </row>
    <row r="41" spans="1:2" x14ac:dyDescent="0.35">
      <c r="A41" s="10">
        <f t="shared" si="0"/>
        <v>32</v>
      </c>
      <c r="B41" s="11" t="s">
        <v>63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5077-9755-46E3-8782-D342608B98D5}">
  <sheetPr>
    <tabColor theme="8" tint="0.39997558519241921"/>
  </sheetPr>
  <dimension ref="A6:J82"/>
  <sheetViews>
    <sheetView topLeftCell="A66" workbookViewId="0">
      <selection activeCell="J78" sqref="J78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1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1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1</v>
      </c>
      <c r="G13" s="3" t="s">
        <v>10</v>
      </c>
      <c r="H13" s="2" t="str">
        <f t="shared" si="0"/>
        <v>D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0</v>
      </c>
      <c r="F14" s="4">
        <v>2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1</v>
      </c>
      <c r="F15" s="4">
        <v>1</v>
      </c>
      <c r="G15" s="3" t="s">
        <v>19</v>
      </c>
      <c r="H15" s="2" t="str">
        <f t="shared" si="0"/>
        <v>D</v>
      </c>
      <c r="J15">
        <v>3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1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1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2</v>
      </c>
      <c r="G21" s="3" t="s">
        <v>25</v>
      </c>
      <c r="H21" s="2" t="str">
        <f t="shared" si="0"/>
        <v>D</v>
      </c>
      <c r="J21">
        <v>1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3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2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1</v>
      </c>
      <c r="F27" s="4">
        <v>1</v>
      </c>
      <c r="G27" s="3" t="s">
        <v>31</v>
      </c>
      <c r="H27" s="2" t="str">
        <f t="shared" si="0"/>
        <v>D</v>
      </c>
      <c r="J27">
        <v>0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0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1</v>
      </c>
      <c r="F30" s="4">
        <v>0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2</v>
      </c>
      <c r="F31" s="4">
        <v>1</v>
      </c>
      <c r="G31" s="3" t="s">
        <v>30</v>
      </c>
      <c r="H31" s="2" t="str">
        <f t="shared" si="0"/>
        <v>H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0</v>
      </c>
      <c r="G32" s="3" t="s">
        <v>32</v>
      </c>
      <c r="H32" s="2" t="str">
        <f t="shared" si="0"/>
        <v>H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2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2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0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1</v>
      </c>
      <c r="F38" s="4">
        <v>2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1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1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2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2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1</v>
      </c>
      <c r="F47" s="4">
        <v>1</v>
      </c>
      <c r="G47" s="3" t="s">
        <v>51</v>
      </c>
      <c r="H47" s="2" t="str">
        <f t="shared" si="1"/>
        <v>D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2</v>
      </c>
      <c r="G49" s="3" t="s">
        <v>51</v>
      </c>
      <c r="H49" s="2" t="str">
        <f t="shared" si="1"/>
        <v>A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2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1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1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0</v>
      </c>
      <c r="F55" s="4">
        <v>1</v>
      </c>
      <c r="G55" s="3" t="s">
        <v>58</v>
      </c>
      <c r="H55" s="2" t="str">
        <f t="shared" si="1"/>
        <v>A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3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1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2</v>
      </c>
      <c r="F61" s="4">
        <v>2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1</v>
      </c>
      <c r="F63" s="4">
        <v>1</v>
      </c>
      <c r="G63" s="3" t="s">
        <v>69</v>
      </c>
      <c r="H63" s="2" t="str">
        <f t="shared" si="1"/>
        <v>D</v>
      </c>
      <c r="J63">
        <v>0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1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1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0</v>
      </c>
      <c r="F67" s="4">
        <v>1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2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2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0</v>
      </c>
      <c r="F70" s="4">
        <v>1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1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0</v>
      </c>
      <c r="G74" s="3" t="s">
        <v>77</v>
      </c>
      <c r="H74" s="2" t="str">
        <f t="shared" si="2"/>
        <v>H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1</v>
      </c>
      <c r="F75" s="4">
        <v>1</v>
      </c>
      <c r="G75" s="3" t="s">
        <v>82</v>
      </c>
      <c r="H75" s="2" t="str">
        <f t="shared" si="2"/>
        <v>D</v>
      </c>
      <c r="J75">
        <v>0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1</v>
      </c>
      <c r="F76" s="4">
        <v>0</v>
      </c>
      <c r="G76" s="3" t="s">
        <v>84</v>
      </c>
      <c r="H76" s="2" t="str">
        <f t="shared" si="2"/>
        <v>H</v>
      </c>
      <c r="J76">
        <v>3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1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1</v>
      </c>
      <c r="F78" s="4">
        <v>1</v>
      </c>
      <c r="G78" s="3" t="s">
        <v>82</v>
      </c>
      <c r="H78" s="2" t="str">
        <f t="shared" si="2"/>
        <v>D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1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1</v>
      </c>
      <c r="G80" s="3" t="s">
        <v>83</v>
      </c>
      <c r="H80" s="2" t="str">
        <f t="shared" si="2"/>
        <v>H</v>
      </c>
      <c r="J80" s="54"/>
    </row>
    <row r="82" spans="10:10" x14ac:dyDescent="0.35">
      <c r="J82">
        <f>SUM(J8:J80)</f>
        <v>15</v>
      </c>
    </row>
  </sheetData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3543-3BAC-4B59-BF3B-D14AF500C19A}">
  <sheetPr>
    <tabColor theme="8" tint="0.39997558519241921"/>
  </sheetPr>
  <dimension ref="A5:Q42"/>
  <sheetViews>
    <sheetView topLeftCell="A16" workbookViewId="0">
      <selection activeCell="I33" sqref="I33"/>
    </sheetView>
  </sheetViews>
  <sheetFormatPr defaultRowHeight="14.5" x14ac:dyDescent="0.35"/>
  <cols>
    <col min="1" max="1" width="3.1796875" customWidth="1"/>
    <col min="2" max="2" width="20.6328125" customWidth="1"/>
    <col min="3" max="3" width="1.81640625" customWidth="1"/>
    <col min="4" max="4" width="3.1796875" customWidth="1"/>
    <col min="5" max="5" width="20.6328125" customWidth="1"/>
    <col min="6" max="6" width="1.81640625" customWidth="1"/>
    <col min="7" max="7" width="3.1796875" customWidth="1"/>
    <col min="8" max="8" width="20.6328125" customWidth="1"/>
    <col min="9" max="9" width="1.81640625" customWidth="1"/>
    <col min="10" max="10" width="3.1796875" customWidth="1"/>
    <col min="11" max="11" width="20.6328125" customWidth="1"/>
    <col min="12" max="12" width="1.81640625" customWidth="1"/>
    <col min="13" max="13" width="3.1796875" customWidth="1"/>
    <col min="14" max="14" width="20.6328125" customWidth="1"/>
    <col min="15" max="15" width="1.81640625" customWidth="1"/>
    <col min="16" max="16" width="3.179687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37</v>
      </c>
      <c r="D10" s="10">
        <v>1</v>
      </c>
      <c r="E10" s="11" t="s">
        <v>37</v>
      </c>
      <c r="G10" s="10">
        <v>1</v>
      </c>
      <c r="H10" s="11" t="s">
        <v>62</v>
      </c>
      <c r="J10" s="10">
        <v>1</v>
      </c>
      <c r="K10" s="11" t="s">
        <v>75</v>
      </c>
      <c r="M10" s="10">
        <v>1</v>
      </c>
      <c r="N10" s="11" t="s">
        <v>43</v>
      </c>
      <c r="P10" s="10">
        <v>1</v>
      </c>
      <c r="Q10" s="11" t="s">
        <v>75</v>
      </c>
    </row>
    <row r="11" spans="1:17" s="9" customFormat="1" x14ac:dyDescent="0.35">
      <c r="A11" s="10">
        <f t="shared" ref="A11:A41" si="0">A10+1</f>
        <v>2</v>
      </c>
      <c r="B11" s="11" t="s">
        <v>27</v>
      </c>
      <c r="D11" s="10">
        <f t="shared" ref="D11:D25" si="1">D10+1</f>
        <v>2</v>
      </c>
      <c r="E11" s="11" t="s">
        <v>62</v>
      </c>
      <c r="G11" s="10">
        <f t="shared" ref="G11:G17" si="2">G10+1</f>
        <v>2</v>
      </c>
      <c r="H11" s="11" t="s">
        <v>43</v>
      </c>
      <c r="J11" s="10">
        <f>J10+1</f>
        <v>2</v>
      </c>
      <c r="K11" s="11" t="s">
        <v>81</v>
      </c>
      <c r="M11" s="10">
        <f>M10+1</f>
        <v>2</v>
      </c>
      <c r="N11" s="11" t="s">
        <v>75</v>
      </c>
    </row>
    <row r="12" spans="1:17" s="9" customFormat="1" x14ac:dyDescent="0.35">
      <c r="A12" s="10">
        <f t="shared" si="0"/>
        <v>3</v>
      </c>
      <c r="B12" s="11" t="s">
        <v>62</v>
      </c>
      <c r="D12" s="10">
        <f t="shared" si="1"/>
        <v>3</v>
      </c>
      <c r="E12" s="11" t="s">
        <v>13</v>
      </c>
      <c r="G12" s="10">
        <f t="shared" si="2"/>
        <v>3</v>
      </c>
      <c r="H12" s="11" t="s">
        <v>56</v>
      </c>
      <c r="J12" s="10">
        <f>J11+1</f>
        <v>3</v>
      </c>
      <c r="K12" s="11" t="s">
        <v>56</v>
      </c>
    </row>
    <row r="13" spans="1:17" s="9" customFormat="1" x14ac:dyDescent="0.35">
      <c r="A13" s="10">
        <f t="shared" si="0"/>
        <v>4</v>
      </c>
      <c r="B13" s="11" t="s">
        <v>132</v>
      </c>
      <c r="D13" s="10">
        <f t="shared" si="1"/>
        <v>4</v>
      </c>
      <c r="E13" s="11" t="s">
        <v>43</v>
      </c>
      <c r="G13" s="10">
        <f t="shared" si="2"/>
        <v>4</v>
      </c>
      <c r="H13" s="11" t="s">
        <v>135</v>
      </c>
      <c r="J13" s="10">
        <f>J12+1</f>
        <v>4</v>
      </c>
      <c r="K13" s="11" t="s">
        <v>43</v>
      </c>
    </row>
    <row r="14" spans="1:17" s="9" customFormat="1" x14ac:dyDescent="0.35">
      <c r="A14" s="10">
        <f t="shared" si="0"/>
        <v>5</v>
      </c>
      <c r="B14" s="11" t="s">
        <v>13</v>
      </c>
      <c r="D14" s="10">
        <f t="shared" si="1"/>
        <v>5</v>
      </c>
      <c r="E14" s="11" t="s">
        <v>78</v>
      </c>
      <c r="G14" s="10">
        <f t="shared" si="2"/>
        <v>5</v>
      </c>
      <c r="H14" s="11" t="s">
        <v>65</v>
      </c>
    </row>
    <row r="15" spans="1:17" s="9" customFormat="1" x14ac:dyDescent="0.35">
      <c r="A15" s="10">
        <f t="shared" si="0"/>
        <v>6</v>
      </c>
      <c r="B15" s="11" t="s">
        <v>18</v>
      </c>
      <c r="D15" s="10">
        <f t="shared" si="1"/>
        <v>6</v>
      </c>
      <c r="E15" s="11" t="s">
        <v>56</v>
      </c>
      <c r="G15" s="10">
        <f t="shared" si="2"/>
        <v>6</v>
      </c>
      <c r="H15" s="11" t="s">
        <v>81</v>
      </c>
    </row>
    <row r="16" spans="1:17" s="9" customFormat="1" x14ac:dyDescent="0.35">
      <c r="A16" s="10">
        <f t="shared" si="0"/>
        <v>7</v>
      </c>
      <c r="B16" s="11" t="s">
        <v>43</v>
      </c>
      <c r="D16" s="10">
        <f t="shared" si="1"/>
        <v>7</v>
      </c>
      <c r="E16" s="11" t="s">
        <v>135</v>
      </c>
      <c r="G16" s="10">
        <f t="shared" si="2"/>
        <v>7</v>
      </c>
      <c r="H16" s="11" t="s">
        <v>205</v>
      </c>
    </row>
    <row r="17" spans="1:11" s="9" customFormat="1" x14ac:dyDescent="0.35">
      <c r="A17" s="10">
        <f t="shared" si="0"/>
        <v>8</v>
      </c>
      <c r="B17" s="11" t="s">
        <v>209</v>
      </c>
      <c r="D17" s="10">
        <f t="shared" si="1"/>
        <v>8</v>
      </c>
      <c r="E17" s="11" t="s">
        <v>49</v>
      </c>
      <c r="G17" s="10">
        <f t="shared" si="2"/>
        <v>8</v>
      </c>
      <c r="H17" s="11" t="s">
        <v>75</v>
      </c>
    </row>
    <row r="18" spans="1:11" s="9" customFormat="1" x14ac:dyDescent="0.35">
      <c r="A18" s="10">
        <f t="shared" si="0"/>
        <v>9</v>
      </c>
      <c r="B18" s="11" t="s">
        <v>78</v>
      </c>
      <c r="D18" s="10">
        <f t="shared" si="1"/>
        <v>9</v>
      </c>
      <c r="E18" s="11" t="s">
        <v>24</v>
      </c>
    </row>
    <row r="19" spans="1:11" s="9" customFormat="1" x14ac:dyDescent="0.35">
      <c r="A19" s="10">
        <f t="shared" si="0"/>
        <v>10</v>
      </c>
      <c r="B19" s="11" t="s">
        <v>82</v>
      </c>
      <c r="D19" s="10">
        <f t="shared" si="1"/>
        <v>10</v>
      </c>
      <c r="E19" s="11" t="s">
        <v>65</v>
      </c>
    </row>
    <row r="20" spans="1:11" s="9" customFormat="1" x14ac:dyDescent="0.35">
      <c r="A20" s="10">
        <f t="shared" si="0"/>
        <v>11</v>
      </c>
      <c r="B20" s="11" t="s">
        <v>56</v>
      </c>
      <c r="D20" s="10">
        <f t="shared" si="1"/>
        <v>11</v>
      </c>
      <c r="E20" s="11" t="s">
        <v>10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70</v>
      </c>
      <c r="D21" s="10">
        <f t="shared" si="1"/>
        <v>12</v>
      </c>
      <c r="E21" s="11" t="s">
        <v>81</v>
      </c>
    </row>
    <row r="22" spans="1:11" s="9" customFormat="1" x14ac:dyDescent="0.35">
      <c r="A22" s="10">
        <f t="shared" si="0"/>
        <v>13</v>
      </c>
      <c r="B22" s="11" t="s">
        <v>135</v>
      </c>
      <c r="D22" s="10">
        <f t="shared" si="1"/>
        <v>13</v>
      </c>
      <c r="E22" s="11" t="s">
        <v>205</v>
      </c>
      <c r="H22" s="9" t="s">
        <v>113</v>
      </c>
      <c r="K22" s="11" t="s">
        <v>208</v>
      </c>
    </row>
    <row r="23" spans="1:11" s="9" customFormat="1" x14ac:dyDescent="0.35">
      <c r="A23" s="10">
        <f t="shared" si="0"/>
        <v>14</v>
      </c>
      <c r="B23" s="11" t="s">
        <v>19</v>
      </c>
      <c r="D23" s="10">
        <f t="shared" si="1"/>
        <v>14</v>
      </c>
      <c r="E23" s="11" t="s">
        <v>51</v>
      </c>
      <c r="H23" s="9" t="s">
        <v>116</v>
      </c>
      <c r="K23" s="11" t="s">
        <v>51</v>
      </c>
    </row>
    <row r="24" spans="1:11" s="9" customFormat="1" x14ac:dyDescent="0.35">
      <c r="A24" s="10">
        <f t="shared" si="0"/>
        <v>15</v>
      </c>
      <c r="B24" s="11" t="s">
        <v>49</v>
      </c>
      <c r="D24" s="10">
        <f t="shared" si="1"/>
        <v>15</v>
      </c>
      <c r="E24" s="11" t="s">
        <v>204</v>
      </c>
      <c r="H24" s="9" t="s">
        <v>119</v>
      </c>
      <c r="K24" s="11" t="s">
        <v>207</v>
      </c>
    </row>
    <row r="25" spans="1:11" s="9" customFormat="1" x14ac:dyDescent="0.35">
      <c r="A25" s="10">
        <f t="shared" si="0"/>
        <v>16</v>
      </c>
      <c r="B25" s="11" t="s">
        <v>206</v>
      </c>
      <c r="D25" s="10">
        <f t="shared" si="1"/>
        <v>16</v>
      </c>
      <c r="E25" s="11" t="s">
        <v>75</v>
      </c>
    </row>
    <row r="26" spans="1:11" s="9" customFormat="1" x14ac:dyDescent="0.35">
      <c r="A26" s="10">
        <f t="shared" si="0"/>
        <v>17</v>
      </c>
      <c r="B26" s="11" t="s">
        <v>24</v>
      </c>
      <c r="H26" s="9" t="s">
        <v>122</v>
      </c>
      <c r="K26" s="13">
        <v>236</v>
      </c>
    </row>
    <row r="27" spans="1:11" s="9" customFormat="1" x14ac:dyDescent="0.35">
      <c r="A27" s="10">
        <f t="shared" si="0"/>
        <v>18</v>
      </c>
      <c r="B27" s="11" t="s">
        <v>44</v>
      </c>
      <c r="H27" s="9" t="s">
        <v>124</v>
      </c>
    </row>
    <row r="28" spans="1:11" x14ac:dyDescent="0.35">
      <c r="A28" s="10">
        <f t="shared" si="0"/>
        <v>19</v>
      </c>
      <c r="B28" s="11" t="s">
        <v>40</v>
      </c>
    </row>
    <row r="29" spans="1:11" x14ac:dyDescent="0.35">
      <c r="A29" s="10">
        <f t="shared" si="0"/>
        <v>20</v>
      </c>
      <c r="B29" s="11" t="s">
        <v>65</v>
      </c>
    </row>
    <row r="30" spans="1:11" x14ac:dyDescent="0.35">
      <c r="A30" s="10">
        <f t="shared" si="0"/>
        <v>21</v>
      </c>
      <c r="B30" s="11" t="s">
        <v>10</v>
      </c>
    </row>
    <row r="31" spans="1:11" x14ac:dyDescent="0.35">
      <c r="A31" s="10">
        <f t="shared" si="0"/>
        <v>22</v>
      </c>
      <c r="B31" s="11" t="s">
        <v>58</v>
      </c>
    </row>
    <row r="32" spans="1:11" x14ac:dyDescent="0.35">
      <c r="A32" s="10">
        <f t="shared" si="0"/>
        <v>23</v>
      </c>
      <c r="B32" s="11" t="s">
        <v>81</v>
      </c>
    </row>
    <row r="33" spans="1:2" x14ac:dyDescent="0.35">
      <c r="A33" s="10">
        <f t="shared" si="0"/>
        <v>24</v>
      </c>
      <c r="B33" s="11" t="s">
        <v>63</v>
      </c>
    </row>
    <row r="34" spans="1:2" x14ac:dyDescent="0.35">
      <c r="A34" s="10">
        <f t="shared" si="0"/>
        <v>25</v>
      </c>
      <c r="B34" s="11" t="s">
        <v>205</v>
      </c>
    </row>
    <row r="35" spans="1:2" x14ac:dyDescent="0.35">
      <c r="A35" s="10">
        <f t="shared" si="0"/>
        <v>26</v>
      </c>
      <c r="B35" s="11" t="s">
        <v>59</v>
      </c>
    </row>
    <row r="36" spans="1:2" x14ac:dyDescent="0.35">
      <c r="A36" s="10">
        <f t="shared" si="0"/>
        <v>27</v>
      </c>
      <c r="B36" s="11" t="s">
        <v>30</v>
      </c>
    </row>
    <row r="37" spans="1:2" x14ac:dyDescent="0.35">
      <c r="A37" s="10">
        <f t="shared" si="0"/>
        <v>28</v>
      </c>
      <c r="B37" s="11" t="s">
        <v>51</v>
      </c>
    </row>
    <row r="38" spans="1:2" x14ac:dyDescent="0.35">
      <c r="A38" s="10">
        <f t="shared" si="0"/>
        <v>29</v>
      </c>
      <c r="B38" s="11" t="s">
        <v>204</v>
      </c>
    </row>
    <row r="39" spans="1:2" x14ac:dyDescent="0.35">
      <c r="A39" s="10">
        <f t="shared" si="0"/>
        <v>30</v>
      </c>
      <c r="B39" s="11" t="s">
        <v>69</v>
      </c>
    </row>
    <row r="40" spans="1:2" x14ac:dyDescent="0.35">
      <c r="A40" s="10">
        <f t="shared" si="0"/>
        <v>31</v>
      </c>
      <c r="B40" s="11" t="s">
        <v>75</v>
      </c>
    </row>
    <row r="41" spans="1:2" x14ac:dyDescent="0.35">
      <c r="A41" s="10">
        <f t="shared" si="0"/>
        <v>32</v>
      </c>
      <c r="B41" s="11" t="s">
        <v>31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08EA-8445-4767-A886-F9503B8025B6}">
  <sheetPr>
    <tabColor theme="8" tint="0.39997558519241921"/>
  </sheetPr>
  <dimension ref="A6:J82"/>
  <sheetViews>
    <sheetView topLeftCell="A71" workbookViewId="0">
      <selection activeCell="J80" sqref="J80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1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0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2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0</v>
      </c>
      <c r="F14" s="4">
        <v>1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1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0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1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1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1</v>
      </c>
      <c r="G22" s="3" t="s">
        <v>27</v>
      </c>
      <c r="H22" s="2" t="str">
        <f t="shared" si="0"/>
        <v>A</v>
      </c>
      <c r="J22">
        <v>3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1</v>
      </c>
      <c r="G23" s="3" t="s">
        <v>25</v>
      </c>
      <c r="H23" s="2" t="str">
        <f t="shared" si="0"/>
        <v>D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3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2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1</v>
      </c>
      <c r="F30" s="4">
        <v>1</v>
      </c>
      <c r="G30" s="3" t="s">
        <v>31</v>
      </c>
      <c r="H30" s="2" t="str">
        <f t="shared" si="0"/>
        <v>D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2</v>
      </c>
      <c r="F31" s="4">
        <v>2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2</v>
      </c>
      <c r="G32" s="3" t="s">
        <v>32</v>
      </c>
      <c r="H32" s="2" t="str">
        <f t="shared" si="0"/>
        <v>A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1</v>
      </c>
      <c r="G34" s="3" t="s">
        <v>40</v>
      </c>
      <c r="H34" s="2" t="str">
        <f t="shared" si="0"/>
        <v>D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1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2</v>
      </c>
      <c r="F36" s="4">
        <v>1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1</v>
      </c>
      <c r="F38" s="4">
        <v>1</v>
      </c>
      <c r="G38" s="3" t="s">
        <v>39</v>
      </c>
      <c r="H38" s="2" t="str">
        <f t="shared" si="0"/>
        <v>D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3</v>
      </c>
      <c r="F39" s="4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2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2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1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3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1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0</v>
      </c>
      <c r="G55" s="3" t="s">
        <v>58</v>
      </c>
      <c r="H55" s="2" t="str">
        <f t="shared" si="1"/>
        <v>H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1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3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1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2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3</v>
      </c>
      <c r="F63" s="4">
        <v>0</v>
      </c>
      <c r="G63" s="3" t="s">
        <v>69</v>
      </c>
      <c r="H63" s="2" t="str">
        <f t="shared" si="1"/>
        <v>H</v>
      </c>
      <c r="J63">
        <v>3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1</v>
      </c>
      <c r="F66" s="4">
        <v>1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2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2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2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3</v>
      </c>
      <c r="F71" s="4">
        <v>1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1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0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3</v>
      </c>
      <c r="F77" s="4">
        <v>1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1</v>
      </c>
      <c r="G80" s="3" t="s">
        <v>83</v>
      </c>
      <c r="H80" s="2" t="str">
        <f t="shared" si="2"/>
        <v>D</v>
      </c>
      <c r="J80" s="54"/>
    </row>
    <row r="82" spans="10:10" x14ac:dyDescent="0.35">
      <c r="J82">
        <f>SUM(J8:J80)</f>
        <v>18</v>
      </c>
    </row>
  </sheetData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8EBA-8D8B-47F6-BD72-D9904FC4E9AB}">
  <sheetPr>
    <tabColor theme="8" tint="0.39997558519241921"/>
  </sheetPr>
  <dimension ref="A5:Q42"/>
  <sheetViews>
    <sheetView topLeftCell="A7" workbookViewId="0">
      <selection activeCell="H21" sqref="H21"/>
    </sheetView>
  </sheetViews>
  <sheetFormatPr defaultColWidth="8.81640625" defaultRowHeight="14.5" x14ac:dyDescent="0.35"/>
  <cols>
    <col min="1" max="1" width="3.1796875" customWidth="1"/>
    <col min="2" max="2" width="20.6328125" customWidth="1"/>
    <col min="3" max="3" width="1.81640625" customWidth="1"/>
    <col min="4" max="4" width="3.1796875" customWidth="1"/>
    <col min="5" max="5" width="20.6328125" customWidth="1"/>
    <col min="6" max="6" width="1.81640625" customWidth="1"/>
    <col min="7" max="7" width="3.1796875" customWidth="1"/>
    <col min="8" max="8" width="20.6328125" customWidth="1"/>
    <col min="9" max="9" width="1.81640625" customWidth="1"/>
    <col min="10" max="10" width="3.1796875" customWidth="1"/>
    <col min="11" max="11" width="20.6328125" customWidth="1"/>
    <col min="12" max="12" width="1.81640625" customWidth="1"/>
    <col min="13" max="13" width="3.1796875" customWidth="1"/>
    <col min="14" max="14" width="20.6328125" customWidth="1"/>
    <col min="15" max="15" width="1.81640625" customWidth="1"/>
    <col min="16" max="16" width="3.179687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31" t="s">
        <v>10</v>
      </c>
      <c r="D10" s="10">
        <v>1</v>
      </c>
      <c r="E10" s="31" t="s">
        <v>43</v>
      </c>
      <c r="G10" s="10">
        <v>1</v>
      </c>
      <c r="H10" s="31" t="s">
        <v>43</v>
      </c>
      <c r="J10" s="10">
        <v>1</v>
      </c>
      <c r="K10" s="31" t="s">
        <v>43</v>
      </c>
      <c r="M10" s="10">
        <v>1</v>
      </c>
      <c r="N10" s="31" t="s">
        <v>43</v>
      </c>
      <c r="P10" s="10">
        <v>1</v>
      </c>
      <c r="Q10" s="31" t="s">
        <v>212</v>
      </c>
    </row>
    <row r="11" spans="1:17" s="9" customFormat="1" x14ac:dyDescent="0.35">
      <c r="A11" s="10">
        <f t="shared" ref="A11:A41" si="0">A10+1</f>
        <v>2</v>
      </c>
      <c r="B11" s="31" t="s">
        <v>12</v>
      </c>
      <c r="D11" s="10">
        <f t="shared" ref="D11:D25" si="1">D10+1</f>
        <v>2</v>
      </c>
      <c r="E11" s="31" t="s">
        <v>24</v>
      </c>
      <c r="G11" s="10">
        <f t="shared" ref="G11:G17" si="2">G10+1</f>
        <v>2</v>
      </c>
      <c r="H11" s="31" t="s">
        <v>24</v>
      </c>
      <c r="J11" s="10">
        <f>J10+1</f>
        <v>2</v>
      </c>
      <c r="K11" s="31" t="s">
        <v>68</v>
      </c>
      <c r="M11" s="10">
        <f>M10+1</f>
        <v>2</v>
      </c>
      <c r="N11" s="31" t="s">
        <v>62</v>
      </c>
    </row>
    <row r="12" spans="1:17" s="9" customFormat="1" x14ac:dyDescent="0.35">
      <c r="A12" s="10">
        <f t="shared" si="0"/>
        <v>3</v>
      </c>
      <c r="B12" s="31" t="s">
        <v>18</v>
      </c>
      <c r="D12" s="10">
        <f t="shared" si="1"/>
        <v>3</v>
      </c>
      <c r="E12" s="31" t="s">
        <v>68</v>
      </c>
      <c r="G12" s="10">
        <f t="shared" si="2"/>
        <v>3</v>
      </c>
      <c r="H12" s="31" t="s">
        <v>68</v>
      </c>
      <c r="J12" s="10">
        <f>J11+1</f>
        <v>3</v>
      </c>
      <c r="K12" s="31" t="s">
        <v>62</v>
      </c>
    </row>
    <row r="13" spans="1:17" s="9" customFormat="1" x14ac:dyDescent="0.35">
      <c r="A13" s="10">
        <f t="shared" si="0"/>
        <v>4</v>
      </c>
      <c r="B13" s="31" t="s">
        <v>22</v>
      </c>
      <c r="D13" s="10">
        <f t="shared" si="1"/>
        <v>4</v>
      </c>
      <c r="E13" s="31" t="s">
        <v>62</v>
      </c>
      <c r="G13" s="10">
        <f t="shared" si="2"/>
        <v>4</v>
      </c>
      <c r="H13" s="31" t="s">
        <v>62</v>
      </c>
      <c r="J13" s="10">
        <f>J12+1</f>
        <v>4</v>
      </c>
      <c r="K13" s="31" t="s">
        <v>56</v>
      </c>
    </row>
    <row r="14" spans="1:17" s="9" customFormat="1" x14ac:dyDescent="0.35">
      <c r="A14" s="10">
        <f t="shared" si="0"/>
        <v>5</v>
      </c>
      <c r="B14" s="31" t="s">
        <v>24</v>
      </c>
      <c r="D14" s="10">
        <f t="shared" si="1"/>
        <v>5</v>
      </c>
      <c r="E14" s="31" t="s">
        <v>56</v>
      </c>
      <c r="G14" s="10">
        <f t="shared" si="2"/>
        <v>5</v>
      </c>
      <c r="H14" s="31" t="s">
        <v>56</v>
      </c>
    </row>
    <row r="15" spans="1:17" s="9" customFormat="1" x14ac:dyDescent="0.35">
      <c r="A15" s="10">
        <f t="shared" si="0"/>
        <v>6</v>
      </c>
      <c r="B15" s="31" t="s">
        <v>25</v>
      </c>
      <c r="D15" s="10">
        <f t="shared" si="1"/>
        <v>6</v>
      </c>
      <c r="E15" s="31" t="s">
        <v>81</v>
      </c>
      <c r="G15" s="10">
        <f t="shared" si="2"/>
        <v>6</v>
      </c>
      <c r="H15" s="31" t="s">
        <v>81</v>
      </c>
    </row>
    <row r="16" spans="1:17" s="9" customFormat="1" x14ac:dyDescent="0.35">
      <c r="A16" s="10">
        <f t="shared" si="0"/>
        <v>7</v>
      </c>
      <c r="B16" s="31" t="s">
        <v>30</v>
      </c>
      <c r="D16" s="10">
        <f t="shared" si="1"/>
        <v>7</v>
      </c>
      <c r="E16" s="31" t="s">
        <v>75</v>
      </c>
      <c r="G16" s="10">
        <f t="shared" si="2"/>
        <v>7</v>
      </c>
      <c r="H16" s="31" t="s">
        <v>75</v>
      </c>
    </row>
    <row r="17" spans="1:11" s="9" customFormat="1" x14ac:dyDescent="0.35">
      <c r="A17" s="10">
        <f t="shared" si="0"/>
        <v>8</v>
      </c>
      <c r="B17" s="31" t="s">
        <v>33</v>
      </c>
      <c r="D17" s="10">
        <f t="shared" si="1"/>
        <v>8</v>
      </c>
      <c r="E17" s="31" t="s">
        <v>37</v>
      </c>
      <c r="G17" s="10">
        <f t="shared" si="2"/>
        <v>8</v>
      </c>
      <c r="H17" s="31" t="s">
        <v>37</v>
      </c>
    </row>
    <row r="18" spans="1:11" s="9" customFormat="1" x14ac:dyDescent="0.35">
      <c r="A18" s="10">
        <f t="shared" si="0"/>
        <v>9</v>
      </c>
      <c r="B18" s="31" t="s">
        <v>37</v>
      </c>
      <c r="D18" s="10">
        <f t="shared" si="1"/>
        <v>9</v>
      </c>
      <c r="E18" s="31" t="s">
        <v>49</v>
      </c>
    </row>
    <row r="19" spans="1:11" s="9" customFormat="1" x14ac:dyDescent="0.35">
      <c r="A19" s="10">
        <f t="shared" si="0"/>
        <v>10</v>
      </c>
      <c r="B19" s="31" t="s">
        <v>38</v>
      </c>
      <c r="D19" s="10">
        <f t="shared" si="1"/>
        <v>10</v>
      </c>
      <c r="E19" s="31" t="s">
        <v>59</v>
      </c>
    </row>
    <row r="20" spans="1:11" s="9" customFormat="1" x14ac:dyDescent="0.35">
      <c r="A20" s="10">
        <f t="shared" si="0"/>
        <v>11</v>
      </c>
      <c r="B20" s="31" t="s">
        <v>43</v>
      </c>
      <c r="D20" s="10">
        <f t="shared" si="1"/>
        <v>11</v>
      </c>
      <c r="E20" s="31" t="s">
        <v>82</v>
      </c>
      <c r="H20" s="12" t="s">
        <v>110</v>
      </c>
    </row>
    <row r="21" spans="1:11" s="9" customFormat="1" x14ac:dyDescent="0.35">
      <c r="A21" s="10">
        <f t="shared" si="0"/>
        <v>12</v>
      </c>
      <c r="B21" s="31" t="s">
        <v>44</v>
      </c>
      <c r="D21" s="10">
        <f t="shared" si="1"/>
        <v>12</v>
      </c>
      <c r="E21" s="31" t="s">
        <v>25</v>
      </c>
    </row>
    <row r="22" spans="1:11" s="9" customFormat="1" x14ac:dyDescent="0.35">
      <c r="A22" s="10">
        <f t="shared" si="0"/>
        <v>13</v>
      </c>
      <c r="B22" s="31" t="s">
        <v>49</v>
      </c>
      <c r="D22" s="10">
        <f t="shared" si="1"/>
        <v>13</v>
      </c>
      <c r="E22" s="31" t="s">
        <v>30</v>
      </c>
      <c r="H22" s="9" t="s">
        <v>113</v>
      </c>
      <c r="K22" s="31" t="s">
        <v>211</v>
      </c>
    </row>
    <row r="23" spans="1:11" s="9" customFormat="1" x14ac:dyDescent="0.35">
      <c r="A23" s="10">
        <f t="shared" si="0"/>
        <v>14</v>
      </c>
      <c r="B23" s="31" t="s">
        <v>50</v>
      </c>
      <c r="D23" s="10">
        <f t="shared" si="1"/>
        <v>14</v>
      </c>
      <c r="E23" s="31" t="s">
        <v>44</v>
      </c>
      <c r="H23" s="9" t="s">
        <v>116</v>
      </c>
      <c r="K23" s="31" t="s">
        <v>59</v>
      </c>
    </row>
    <row r="24" spans="1:11" s="9" customFormat="1" x14ac:dyDescent="0.35">
      <c r="A24" s="10">
        <f t="shared" si="0"/>
        <v>15</v>
      </c>
      <c r="B24" s="31" t="s">
        <v>56</v>
      </c>
      <c r="D24" s="10">
        <f t="shared" si="1"/>
        <v>15</v>
      </c>
      <c r="E24" s="31" t="s">
        <v>18</v>
      </c>
      <c r="H24" s="9" t="s">
        <v>119</v>
      </c>
      <c r="K24" s="31" t="s">
        <v>210</v>
      </c>
    </row>
    <row r="25" spans="1:11" s="9" customFormat="1" x14ac:dyDescent="0.35">
      <c r="A25" s="10">
        <f t="shared" si="0"/>
        <v>16</v>
      </c>
      <c r="B25" s="31" t="s">
        <v>59</v>
      </c>
      <c r="D25" s="10">
        <f t="shared" si="1"/>
        <v>16</v>
      </c>
      <c r="E25" s="31" t="s">
        <v>38</v>
      </c>
    </row>
    <row r="26" spans="1:11" s="9" customFormat="1" x14ac:dyDescent="0.35">
      <c r="A26" s="10">
        <f t="shared" si="0"/>
        <v>17</v>
      </c>
      <c r="B26" s="31" t="s">
        <v>62</v>
      </c>
      <c r="H26" s="9" t="s">
        <v>122</v>
      </c>
      <c r="K26" s="13">
        <v>172</v>
      </c>
    </row>
    <row r="27" spans="1:11" s="9" customFormat="1" x14ac:dyDescent="0.35">
      <c r="A27" s="10">
        <f t="shared" si="0"/>
        <v>18</v>
      </c>
      <c r="B27" s="31" t="s">
        <v>65</v>
      </c>
      <c r="H27" s="9" t="s">
        <v>124</v>
      </c>
    </row>
    <row r="28" spans="1:11" x14ac:dyDescent="0.35">
      <c r="A28" s="10">
        <f t="shared" si="0"/>
        <v>19</v>
      </c>
      <c r="B28" s="31" t="s">
        <v>68</v>
      </c>
    </row>
    <row r="29" spans="1:11" x14ac:dyDescent="0.35">
      <c r="A29" s="10">
        <f t="shared" si="0"/>
        <v>20</v>
      </c>
      <c r="B29" s="31" t="s">
        <v>70</v>
      </c>
    </row>
    <row r="30" spans="1:11" x14ac:dyDescent="0.35">
      <c r="A30" s="10">
        <f t="shared" si="0"/>
        <v>21</v>
      </c>
      <c r="B30" s="31" t="s">
        <v>75</v>
      </c>
    </row>
    <row r="31" spans="1:11" x14ac:dyDescent="0.35">
      <c r="A31" s="10">
        <f t="shared" si="0"/>
        <v>22</v>
      </c>
      <c r="B31" s="31" t="s">
        <v>78</v>
      </c>
    </row>
    <row r="32" spans="1:11" x14ac:dyDescent="0.35">
      <c r="A32" s="10">
        <f t="shared" si="0"/>
        <v>23</v>
      </c>
      <c r="B32" s="31" t="s">
        <v>81</v>
      </c>
    </row>
    <row r="33" spans="1:2" x14ac:dyDescent="0.35">
      <c r="A33" s="10">
        <f t="shared" si="0"/>
        <v>24</v>
      </c>
      <c r="B33" s="31" t="s">
        <v>82</v>
      </c>
    </row>
    <row r="34" spans="1:2" x14ac:dyDescent="0.35">
      <c r="A34" s="10">
        <f t="shared" si="0"/>
        <v>25</v>
      </c>
      <c r="B34" s="31" t="s">
        <v>13</v>
      </c>
    </row>
    <row r="35" spans="1:2" x14ac:dyDescent="0.35">
      <c r="A35" s="10">
        <f t="shared" si="0"/>
        <v>26</v>
      </c>
      <c r="B35" s="31" t="s">
        <v>21</v>
      </c>
    </row>
    <row r="36" spans="1:2" x14ac:dyDescent="0.35">
      <c r="A36" s="10">
        <f t="shared" si="0"/>
        <v>27</v>
      </c>
      <c r="B36" s="31" t="s">
        <v>27</v>
      </c>
    </row>
    <row r="37" spans="1:2" x14ac:dyDescent="0.35">
      <c r="A37" s="10">
        <f t="shared" si="0"/>
        <v>28</v>
      </c>
      <c r="B37" s="31" t="s">
        <v>32</v>
      </c>
    </row>
    <row r="38" spans="1:2" x14ac:dyDescent="0.35">
      <c r="A38" s="10">
        <f t="shared" si="0"/>
        <v>29</v>
      </c>
      <c r="B38" s="31" t="s">
        <v>39</v>
      </c>
    </row>
    <row r="39" spans="1:2" x14ac:dyDescent="0.35">
      <c r="A39" s="10">
        <f t="shared" si="0"/>
        <v>30</v>
      </c>
      <c r="B39" s="31" t="s">
        <v>45</v>
      </c>
    </row>
    <row r="40" spans="1:2" x14ac:dyDescent="0.35">
      <c r="A40" s="10">
        <f t="shared" si="0"/>
        <v>31</v>
      </c>
      <c r="B40" s="31" t="s">
        <v>63</v>
      </c>
    </row>
    <row r="41" spans="1:2" x14ac:dyDescent="0.35">
      <c r="A41" s="10">
        <f t="shared" si="0"/>
        <v>32</v>
      </c>
      <c r="B41" s="31" t="s">
        <v>83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0BF8-21D2-48E0-A479-8675D5957DB6}">
  <sheetPr>
    <tabColor theme="8" tint="0.39997558519241921"/>
  </sheetPr>
  <dimension ref="A6:J82"/>
  <sheetViews>
    <sheetView topLeftCell="A64" workbookViewId="0">
      <selection activeCell="J82" sqref="J82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1</v>
      </c>
      <c r="G12" s="3" t="s">
        <v>12</v>
      </c>
      <c r="H12" s="2" t="str">
        <f t="shared" si="0"/>
        <v>D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3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2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1</v>
      </c>
      <c r="F15" s="4">
        <v>1</v>
      </c>
      <c r="G15" s="3" t="s">
        <v>19</v>
      </c>
      <c r="H15" s="2" t="str">
        <f t="shared" si="0"/>
        <v>D</v>
      </c>
      <c r="J15">
        <v>3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1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3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1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1</v>
      </c>
      <c r="G23" s="3" t="s">
        <v>25</v>
      </c>
      <c r="H23" s="2" t="str">
        <f t="shared" si="0"/>
        <v>D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3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2</v>
      </c>
      <c r="F25" s="4">
        <v>2</v>
      </c>
      <c r="G25" s="3" t="s">
        <v>24</v>
      </c>
      <c r="H25" s="2" t="str">
        <f t="shared" si="0"/>
        <v>D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3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0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2</v>
      </c>
      <c r="F32" s="4">
        <v>2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4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2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3</v>
      </c>
      <c r="F35" s="4">
        <v>1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2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0</v>
      </c>
      <c r="F38" s="4">
        <v>3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2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1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D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2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1</v>
      </c>
      <c r="G43" s="3" t="s">
        <v>45</v>
      </c>
      <c r="H43" s="2" t="str">
        <f t="shared" si="1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3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1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2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1</v>
      </c>
      <c r="F47" s="4">
        <v>1</v>
      </c>
      <c r="G47" s="3" t="s">
        <v>51</v>
      </c>
      <c r="H47" s="2" t="str">
        <f t="shared" si="1"/>
        <v>D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3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2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3</v>
      </c>
      <c r="F54" s="4">
        <v>1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1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3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4</v>
      </c>
      <c r="F59" s="4">
        <v>1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2</v>
      </c>
      <c r="G60" s="3" t="s">
        <v>63</v>
      </c>
      <c r="H60" s="2" t="str">
        <f t="shared" si="1"/>
        <v>D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3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1</v>
      </c>
      <c r="F63" s="4">
        <v>1</v>
      </c>
      <c r="G63" s="3" t="s">
        <v>69</v>
      </c>
      <c r="H63" s="2" t="str">
        <f t="shared" si="1"/>
        <v>D</v>
      </c>
      <c r="J63">
        <v>0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2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2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2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2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3</v>
      </c>
      <c r="F71" s="4">
        <v>1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1</v>
      </c>
      <c r="G73" s="3" t="s">
        <v>75</v>
      </c>
      <c r="H73" s="2" t="str">
        <f t="shared" ref="H73:H80" si="2">IF(AND(E73&lt;&gt;"",F73&lt;&gt;""),IF(E73&gt;F73,"H",IF(E73&lt;F73,"A","D")),"")</f>
        <v>D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2</v>
      </c>
      <c r="F74" s="4">
        <v>2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0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2</v>
      </c>
      <c r="G76" s="3" t="s">
        <v>84</v>
      </c>
      <c r="H76" s="2" t="str">
        <f t="shared" si="2"/>
        <v>D</v>
      </c>
      <c r="J76">
        <v>0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1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3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1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1</v>
      </c>
      <c r="G80" s="3" t="s">
        <v>83</v>
      </c>
      <c r="H80" s="2" t="str">
        <f t="shared" si="2"/>
        <v>H</v>
      </c>
      <c r="J80" s="54"/>
    </row>
    <row r="82" spans="10:10" x14ac:dyDescent="0.35">
      <c r="J82">
        <f>SUM(J8:J80)</f>
        <v>15</v>
      </c>
    </row>
  </sheetData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BEB3-431D-47A2-916F-398CD153DFE5}">
  <sheetPr>
    <tabColor theme="8" tint="0.39997558519241921"/>
  </sheetPr>
  <dimension ref="A5:Q42"/>
  <sheetViews>
    <sheetView topLeftCell="A7" workbookViewId="0">
      <selection activeCell="H21" sqref="H21"/>
    </sheetView>
  </sheetViews>
  <sheetFormatPr defaultColWidth="8.81640625" defaultRowHeight="14.5" x14ac:dyDescent="0.35"/>
  <cols>
    <col min="1" max="1" width="3.1796875" customWidth="1"/>
    <col min="2" max="2" width="20.6328125" customWidth="1"/>
    <col min="3" max="3" width="1.81640625" customWidth="1"/>
    <col min="4" max="4" width="3.1796875" customWidth="1"/>
    <col min="5" max="5" width="20.6328125" customWidth="1"/>
    <col min="6" max="6" width="1.81640625" customWidth="1"/>
    <col min="7" max="7" width="3.1796875" customWidth="1"/>
    <col min="8" max="8" width="20.6328125" customWidth="1"/>
    <col min="9" max="9" width="1.81640625" customWidth="1"/>
    <col min="10" max="10" width="3.1796875" customWidth="1"/>
    <col min="11" max="11" width="20.6328125" customWidth="1"/>
    <col min="12" max="12" width="1.81640625" customWidth="1"/>
    <col min="13" max="13" width="3.1796875" customWidth="1"/>
    <col min="14" max="14" width="20.6328125" customWidth="1"/>
    <col min="15" max="15" width="1.81640625" customWidth="1"/>
    <col min="16" max="16" width="3.179687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43</v>
      </c>
      <c r="G10" s="10">
        <v>1</v>
      </c>
      <c r="H10" s="11" t="s">
        <v>62</v>
      </c>
      <c r="J10" s="10">
        <v>1</v>
      </c>
      <c r="K10" s="11" t="s">
        <v>62</v>
      </c>
      <c r="M10" s="10">
        <v>1</v>
      </c>
      <c r="N10" s="11" t="s">
        <v>62</v>
      </c>
      <c r="P10" s="10">
        <v>1</v>
      </c>
      <c r="Q10" s="11" t="s">
        <v>62</v>
      </c>
    </row>
    <row r="11" spans="1:17" s="9" customFormat="1" x14ac:dyDescent="0.35">
      <c r="A11" s="10">
        <f t="shared" ref="A11:A41" si="0">A10+1</f>
        <v>2</v>
      </c>
      <c r="B11" s="11" t="s">
        <v>204</v>
      </c>
      <c r="D11" s="10">
        <f t="shared" ref="D11:D25" si="1">D10+1</f>
        <v>2</v>
      </c>
      <c r="E11" s="11" t="s">
        <v>24</v>
      </c>
      <c r="G11" s="10">
        <f t="shared" ref="G11:G17" si="2">G10+1</f>
        <v>2</v>
      </c>
      <c r="H11" s="11" t="s">
        <v>56</v>
      </c>
      <c r="J11" s="10">
        <f>J10+1</f>
        <v>2</v>
      </c>
      <c r="K11" s="11" t="s">
        <v>56</v>
      </c>
      <c r="M11" s="10">
        <f>M10+1</f>
        <v>2</v>
      </c>
      <c r="N11" s="11" t="s">
        <v>56</v>
      </c>
    </row>
    <row r="12" spans="1:17" s="9" customFormat="1" x14ac:dyDescent="0.35">
      <c r="A12" s="10">
        <f t="shared" si="0"/>
        <v>3</v>
      </c>
      <c r="B12" s="11" t="s">
        <v>24</v>
      </c>
      <c r="D12" s="10">
        <f t="shared" si="1"/>
        <v>3</v>
      </c>
      <c r="E12" s="11" t="s">
        <v>62</v>
      </c>
      <c r="G12" s="10">
        <f t="shared" si="2"/>
        <v>3</v>
      </c>
      <c r="H12" s="11" t="s">
        <v>24</v>
      </c>
      <c r="J12" s="10">
        <f>J11+1</f>
        <v>3</v>
      </c>
      <c r="K12" s="11" t="s">
        <v>205</v>
      </c>
    </row>
    <row r="13" spans="1:17" s="9" customFormat="1" x14ac:dyDescent="0.35">
      <c r="A13" s="10">
        <f t="shared" si="0"/>
        <v>4</v>
      </c>
      <c r="B13" s="11" t="s">
        <v>30</v>
      </c>
      <c r="D13" s="10">
        <f t="shared" si="1"/>
        <v>4</v>
      </c>
      <c r="E13" s="11" t="s">
        <v>56</v>
      </c>
      <c r="G13" s="10">
        <f t="shared" si="2"/>
        <v>4</v>
      </c>
      <c r="H13" s="11" t="s">
        <v>81</v>
      </c>
      <c r="J13" s="10">
        <f>J12+1</f>
        <v>4</v>
      </c>
      <c r="K13" s="11" t="s">
        <v>81</v>
      </c>
    </row>
    <row r="14" spans="1:17" s="9" customFormat="1" x14ac:dyDescent="0.35">
      <c r="A14" s="10">
        <f t="shared" si="0"/>
        <v>5</v>
      </c>
      <c r="B14" s="11" t="s">
        <v>37</v>
      </c>
      <c r="D14" s="10">
        <f t="shared" si="1"/>
        <v>5</v>
      </c>
      <c r="E14" s="11" t="s">
        <v>81</v>
      </c>
      <c r="G14" s="10">
        <f t="shared" si="2"/>
        <v>5</v>
      </c>
      <c r="H14" s="11" t="s">
        <v>43</v>
      </c>
    </row>
    <row r="15" spans="1:17" s="9" customFormat="1" x14ac:dyDescent="0.35">
      <c r="A15" s="10">
        <f t="shared" si="0"/>
        <v>6</v>
      </c>
      <c r="B15" s="11" t="s">
        <v>43</v>
      </c>
      <c r="D15" s="10">
        <f t="shared" si="1"/>
        <v>6</v>
      </c>
      <c r="E15" s="11" t="s">
        <v>205</v>
      </c>
      <c r="G15" s="10">
        <f t="shared" si="2"/>
        <v>6</v>
      </c>
      <c r="H15" s="11" t="s">
        <v>205</v>
      </c>
    </row>
    <row r="16" spans="1:17" s="9" customFormat="1" x14ac:dyDescent="0.35">
      <c r="A16" s="10">
        <f t="shared" si="0"/>
        <v>7</v>
      </c>
      <c r="B16" s="11" t="s">
        <v>49</v>
      </c>
      <c r="D16" s="10">
        <f t="shared" si="1"/>
        <v>7</v>
      </c>
      <c r="E16" s="11" t="s">
        <v>37</v>
      </c>
      <c r="G16" s="10">
        <f t="shared" si="2"/>
        <v>7</v>
      </c>
      <c r="H16" s="11" t="s">
        <v>37</v>
      </c>
    </row>
    <row r="17" spans="1:11" s="9" customFormat="1" x14ac:dyDescent="0.35">
      <c r="A17" s="10">
        <f t="shared" si="0"/>
        <v>8</v>
      </c>
      <c r="B17" s="11" t="s">
        <v>56</v>
      </c>
      <c r="D17" s="10">
        <f t="shared" si="1"/>
        <v>8</v>
      </c>
      <c r="E17" s="11" t="s">
        <v>75</v>
      </c>
      <c r="G17" s="10">
        <f t="shared" si="2"/>
        <v>8</v>
      </c>
      <c r="H17" s="11" t="s">
        <v>75</v>
      </c>
    </row>
    <row r="18" spans="1:11" s="9" customFormat="1" x14ac:dyDescent="0.35">
      <c r="A18" s="10">
        <f t="shared" si="0"/>
        <v>9</v>
      </c>
      <c r="B18" s="11" t="s">
        <v>62</v>
      </c>
      <c r="D18" s="10">
        <f t="shared" si="1"/>
        <v>9</v>
      </c>
      <c r="E18" s="11" t="s">
        <v>49</v>
      </c>
    </row>
    <row r="19" spans="1:11" s="9" customFormat="1" x14ac:dyDescent="0.35">
      <c r="A19" s="10">
        <f t="shared" si="0"/>
        <v>10</v>
      </c>
      <c r="B19" s="11" t="s">
        <v>205</v>
      </c>
      <c r="D19" s="10">
        <f t="shared" si="1"/>
        <v>10</v>
      </c>
      <c r="E19" s="11" t="s">
        <v>59</v>
      </c>
    </row>
    <row r="20" spans="1:11" s="9" customFormat="1" x14ac:dyDescent="0.35">
      <c r="A20" s="10">
        <f t="shared" si="0"/>
        <v>11</v>
      </c>
      <c r="B20" s="11" t="s">
        <v>75</v>
      </c>
      <c r="D20" s="10">
        <f t="shared" si="1"/>
        <v>11</v>
      </c>
      <c r="E20" s="11" t="s">
        <v>82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81</v>
      </c>
      <c r="D21" s="10">
        <f t="shared" si="1"/>
        <v>12</v>
      </c>
      <c r="E21" s="11" t="s">
        <v>78</v>
      </c>
    </row>
    <row r="22" spans="1:11" s="9" customFormat="1" x14ac:dyDescent="0.35">
      <c r="A22" s="10">
        <f t="shared" si="0"/>
        <v>13</v>
      </c>
      <c r="B22" s="11" t="s">
        <v>206</v>
      </c>
      <c r="D22" s="10">
        <f t="shared" si="1"/>
        <v>13</v>
      </c>
      <c r="E22" s="11" t="s">
        <v>10</v>
      </c>
      <c r="H22" s="9" t="s">
        <v>113</v>
      </c>
      <c r="K22" s="11" t="s">
        <v>143</v>
      </c>
    </row>
    <row r="23" spans="1:11" s="9" customFormat="1" x14ac:dyDescent="0.35">
      <c r="A23" s="10">
        <f t="shared" si="0"/>
        <v>14</v>
      </c>
      <c r="B23" s="11" t="s">
        <v>18</v>
      </c>
      <c r="D23" s="10">
        <f t="shared" si="1"/>
        <v>14</v>
      </c>
      <c r="E23" s="11" t="s">
        <v>30</v>
      </c>
      <c r="H23" s="9" t="s">
        <v>116</v>
      </c>
      <c r="K23" s="11" t="s">
        <v>59</v>
      </c>
    </row>
    <row r="24" spans="1:11" s="9" customFormat="1" x14ac:dyDescent="0.35">
      <c r="A24" s="10">
        <f t="shared" si="0"/>
        <v>15</v>
      </c>
      <c r="B24" s="11" t="s">
        <v>209</v>
      </c>
      <c r="D24" s="10">
        <f t="shared" si="1"/>
        <v>15</v>
      </c>
      <c r="E24" s="11" t="s">
        <v>44</v>
      </c>
      <c r="H24" s="9" t="s">
        <v>119</v>
      </c>
      <c r="K24" s="11" t="s">
        <v>143</v>
      </c>
    </row>
    <row r="25" spans="1:11" s="9" customFormat="1" x14ac:dyDescent="0.35">
      <c r="A25" s="10">
        <f t="shared" si="0"/>
        <v>16</v>
      </c>
      <c r="B25" s="11" t="s">
        <v>135</v>
      </c>
      <c r="D25" s="10">
        <f t="shared" si="1"/>
        <v>16</v>
      </c>
      <c r="E25" s="11" t="s">
        <v>209</v>
      </c>
    </row>
    <row r="26" spans="1:11" s="9" customFormat="1" x14ac:dyDescent="0.35">
      <c r="A26" s="10">
        <f t="shared" si="0"/>
        <v>17</v>
      </c>
      <c r="B26" s="11" t="s">
        <v>40</v>
      </c>
      <c r="H26" s="9" t="s">
        <v>122</v>
      </c>
      <c r="K26" s="13">
        <v>285</v>
      </c>
    </row>
    <row r="27" spans="1:11" s="9" customFormat="1" x14ac:dyDescent="0.35">
      <c r="A27" s="10">
        <f t="shared" si="0"/>
        <v>18</v>
      </c>
      <c r="B27" s="11" t="s">
        <v>44</v>
      </c>
      <c r="H27" s="9" t="s">
        <v>124</v>
      </c>
    </row>
    <row r="28" spans="1:11" x14ac:dyDescent="0.35">
      <c r="A28" s="10">
        <f t="shared" si="0"/>
        <v>19</v>
      </c>
      <c r="B28" s="11" t="s">
        <v>51</v>
      </c>
    </row>
    <row r="29" spans="1:11" x14ac:dyDescent="0.35">
      <c r="A29" s="10">
        <f t="shared" si="0"/>
        <v>20</v>
      </c>
      <c r="B29" s="11" t="s">
        <v>59</v>
      </c>
    </row>
    <row r="30" spans="1:11" x14ac:dyDescent="0.35">
      <c r="A30" s="10">
        <f t="shared" si="0"/>
        <v>21</v>
      </c>
      <c r="B30" s="11" t="s">
        <v>65</v>
      </c>
    </row>
    <row r="31" spans="1:11" x14ac:dyDescent="0.35">
      <c r="A31" s="10">
        <f t="shared" si="0"/>
        <v>22</v>
      </c>
      <c r="B31" s="11" t="s">
        <v>70</v>
      </c>
    </row>
    <row r="32" spans="1:11" x14ac:dyDescent="0.35">
      <c r="A32" s="10">
        <f t="shared" si="0"/>
        <v>23</v>
      </c>
      <c r="B32" s="11" t="s">
        <v>78</v>
      </c>
    </row>
    <row r="33" spans="1:2" x14ac:dyDescent="0.35">
      <c r="A33" s="10">
        <f t="shared" si="0"/>
        <v>24</v>
      </c>
      <c r="B33" s="11" t="s">
        <v>82</v>
      </c>
    </row>
    <row r="34" spans="1:2" x14ac:dyDescent="0.35">
      <c r="A34" s="10">
        <f t="shared" si="0"/>
        <v>25</v>
      </c>
      <c r="B34" s="11" t="s">
        <v>13</v>
      </c>
    </row>
    <row r="35" spans="1:2" x14ac:dyDescent="0.35">
      <c r="A35" s="10">
        <f t="shared" si="0"/>
        <v>26</v>
      </c>
      <c r="B35" s="11" t="s">
        <v>19</v>
      </c>
    </row>
    <row r="36" spans="1:2" x14ac:dyDescent="0.35">
      <c r="A36" s="10">
        <f t="shared" si="0"/>
        <v>27</v>
      </c>
      <c r="B36" s="11" t="s">
        <v>173</v>
      </c>
    </row>
    <row r="37" spans="1:2" x14ac:dyDescent="0.35">
      <c r="A37" s="10">
        <f t="shared" si="0"/>
        <v>28</v>
      </c>
      <c r="B37" s="11" t="s">
        <v>132</v>
      </c>
    </row>
    <row r="38" spans="1:2" x14ac:dyDescent="0.35">
      <c r="A38" s="10">
        <f t="shared" si="0"/>
        <v>29</v>
      </c>
      <c r="B38" s="11" t="s">
        <v>50</v>
      </c>
    </row>
    <row r="39" spans="1:2" x14ac:dyDescent="0.35">
      <c r="A39" s="10">
        <f t="shared" si="0"/>
        <v>30</v>
      </c>
      <c r="B39" s="11" t="s">
        <v>63</v>
      </c>
    </row>
    <row r="40" spans="1:2" x14ac:dyDescent="0.35">
      <c r="A40" s="10">
        <f t="shared" si="0"/>
        <v>31</v>
      </c>
      <c r="B40" s="11" t="s">
        <v>69</v>
      </c>
    </row>
    <row r="41" spans="1:2" x14ac:dyDescent="0.35">
      <c r="A41" s="10">
        <f t="shared" si="0"/>
        <v>32</v>
      </c>
      <c r="B41" s="11" t="s">
        <v>83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8291-7192-4B6A-8157-5FF820C8575D}">
  <sheetPr>
    <tabColor theme="8" tint="0.39997558519241921"/>
  </sheetPr>
  <dimension ref="A6:J82"/>
  <sheetViews>
    <sheetView topLeftCell="A64" workbookViewId="0">
      <selection activeCell="J82" sqref="J82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2</v>
      </c>
      <c r="F10" s="4">
        <v>1</v>
      </c>
      <c r="G10" s="3" t="s">
        <v>13</v>
      </c>
      <c r="H10" s="2" t="str">
        <f t="shared" si="0"/>
        <v>H</v>
      </c>
      <c r="J10">
        <v>3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1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0</v>
      </c>
      <c r="F13" s="4">
        <v>2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3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0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1</v>
      </c>
      <c r="F17" s="4">
        <v>1</v>
      </c>
      <c r="G17" s="3" t="s">
        <v>19</v>
      </c>
      <c r="H17" s="2" t="str">
        <f t="shared" si="0"/>
        <v>D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3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0</v>
      </c>
      <c r="F19" s="4">
        <v>2</v>
      </c>
      <c r="G19" s="3" t="s">
        <v>18</v>
      </c>
      <c r="H19" s="2" t="str">
        <f t="shared" si="0"/>
        <v>A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0</v>
      </c>
      <c r="F20" s="4">
        <v>0</v>
      </c>
      <c r="G20" s="3" t="s">
        <v>21</v>
      </c>
      <c r="H20" s="2" t="str">
        <f t="shared" si="0"/>
        <v>D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0</v>
      </c>
      <c r="G22" s="3" t="s">
        <v>27</v>
      </c>
      <c r="H22" s="2" t="str">
        <f t="shared" si="0"/>
        <v>D</v>
      </c>
      <c r="J22">
        <v>0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0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3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0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2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0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0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2</v>
      </c>
      <c r="F31" s="4">
        <v>1</v>
      </c>
      <c r="G31" s="3" t="s">
        <v>30</v>
      </c>
      <c r="H31" s="2" t="str">
        <f t="shared" si="0"/>
        <v>H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0</v>
      </c>
      <c r="F34" s="4">
        <v>1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3</v>
      </c>
      <c r="F35" s="4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1</v>
      </c>
      <c r="F36" s="4">
        <v>1</v>
      </c>
      <c r="G36" s="3" t="s">
        <v>38</v>
      </c>
      <c r="H36" s="2" t="str">
        <f t="shared" si="0"/>
        <v>D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0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2</v>
      </c>
      <c r="F38" s="4">
        <v>0</v>
      </c>
      <c r="G38" s="3" t="s">
        <v>39</v>
      </c>
      <c r="H38" s="2" t="str">
        <f t="shared" si="0"/>
        <v>H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3</v>
      </c>
      <c r="F39" s="4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2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0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2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1</v>
      </c>
      <c r="G43" s="3" t="s">
        <v>45</v>
      </c>
      <c r="H43" s="2" t="str">
        <f t="shared" si="1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3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2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1</v>
      </c>
      <c r="G48" s="3" t="s">
        <v>50</v>
      </c>
      <c r="H48" s="2" t="str">
        <f t="shared" si="1"/>
        <v>D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3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1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3</v>
      </c>
      <c r="F57" s="4">
        <v>0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3</v>
      </c>
      <c r="F59" s="4">
        <v>1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3</v>
      </c>
      <c r="F60" s="4">
        <v>1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2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1</v>
      </c>
      <c r="F62" s="4">
        <v>1</v>
      </c>
      <c r="G62" s="3" t="s">
        <v>64</v>
      </c>
      <c r="H62" s="2" t="str">
        <f t="shared" si="1"/>
        <v>D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3</v>
      </c>
      <c r="F65" s="4">
        <v>0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1</v>
      </c>
      <c r="F66" s="4">
        <v>1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1</v>
      </c>
      <c r="G67" s="3" t="s">
        <v>70</v>
      </c>
      <c r="H67" s="2" t="str">
        <f t="shared" si="1"/>
        <v>D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4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1</v>
      </c>
      <c r="G70" s="3" t="s">
        <v>78</v>
      </c>
      <c r="H70" s="2" t="str">
        <f t="shared" si="1"/>
        <v>D</v>
      </c>
      <c r="J70">
        <v>0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3</v>
      </c>
      <c r="F71" s="4">
        <v>1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1</v>
      </c>
      <c r="F72" s="4">
        <v>1</v>
      </c>
      <c r="G72" s="3" t="s">
        <v>76</v>
      </c>
      <c r="H72" s="2" t="str">
        <f t="shared" si="1"/>
        <v>D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3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1</v>
      </c>
      <c r="F76" s="4">
        <v>1</v>
      </c>
      <c r="G76" s="3" t="s">
        <v>84</v>
      </c>
      <c r="H76" s="2" t="str">
        <f t="shared" si="2"/>
        <v>D</v>
      </c>
      <c r="J76">
        <v>0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0</v>
      </c>
      <c r="G80" s="3" t="s">
        <v>83</v>
      </c>
      <c r="H80" s="2" t="str">
        <f t="shared" si="2"/>
        <v>H</v>
      </c>
      <c r="J80" s="54"/>
    </row>
    <row r="82" spans="10:10" x14ac:dyDescent="0.35">
      <c r="J82">
        <f>SUM(J8:J80)</f>
        <v>14</v>
      </c>
    </row>
  </sheetData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2F86-BBD7-4D1D-B3D8-5FE105B7C86B}">
  <sheetPr>
    <tabColor theme="8" tint="0.39997558519241921"/>
  </sheetPr>
  <dimension ref="A5:Q42"/>
  <sheetViews>
    <sheetView workbookViewId="0">
      <selection activeCell="E84" sqref="E84"/>
    </sheetView>
  </sheetViews>
  <sheetFormatPr defaultColWidth="8.81640625" defaultRowHeight="14.5" x14ac:dyDescent="0.35"/>
  <cols>
    <col min="1" max="1" width="3.1796875" customWidth="1"/>
    <col min="2" max="2" width="20.6328125" customWidth="1"/>
    <col min="3" max="3" width="1.81640625" customWidth="1"/>
    <col min="4" max="4" width="3.1796875" customWidth="1"/>
    <col min="5" max="5" width="20.6328125" customWidth="1"/>
    <col min="6" max="6" width="1.81640625" customWidth="1"/>
    <col min="7" max="7" width="3.1796875" customWidth="1"/>
    <col min="8" max="8" width="20.6328125" customWidth="1"/>
    <col min="9" max="9" width="1.81640625" customWidth="1"/>
    <col min="10" max="10" width="3.1796875" customWidth="1"/>
    <col min="11" max="11" width="20.6328125" customWidth="1"/>
    <col min="12" max="12" width="1.81640625" customWidth="1"/>
    <col min="13" max="13" width="3.1796875" customWidth="1"/>
    <col min="14" max="14" width="20.6328125" customWidth="1"/>
    <col min="15" max="15" width="1.81640625" customWidth="1"/>
    <col min="16" max="16" width="3.179687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43</v>
      </c>
      <c r="G10" s="10">
        <v>1</v>
      </c>
      <c r="H10" s="11" t="s">
        <v>43</v>
      </c>
      <c r="J10" s="10">
        <v>1</v>
      </c>
      <c r="K10" s="11" t="s">
        <v>43</v>
      </c>
      <c r="M10" s="10">
        <v>1</v>
      </c>
      <c r="N10" s="11" t="s">
        <v>43</v>
      </c>
      <c r="P10" s="10">
        <v>1</v>
      </c>
      <c r="Q10" s="11" t="s">
        <v>43</v>
      </c>
    </row>
    <row r="11" spans="1:17" s="9" customFormat="1" x14ac:dyDescent="0.35">
      <c r="A11" s="10">
        <f t="shared" ref="A11:A41" si="0">A10+1</f>
        <v>2</v>
      </c>
      <c r="B11" s="11" t="s">
        <v>12</v>
      </c>
      <c r="D11" s="10">
        <f t="shared" ref="D11:D25" si="1">D10+1</f>
        <v>2</v>
      </c>
      <c r="E11" s="11" t="s">
        <v>62</v>
      </c>
      <c r="G11" s="10">
        <f t="shared" ref="G11:G17" si="2">G10+1</f>
        <v>2</v>
      </c>
      <c r="H11" s="11" t="s">
        <v>62</v>
      </c>
      <c r="J11" s="10">
        <f>J10+1</f>
        <v>2</v>
      </c>
      <c r="K11" s="11" t="s">
        <v>62</v>
      </c>
      <c r="M11" s="10">
        <f>M10+1</f>
        <v>2</v>
      </c>
      <c r="N11" s="11" t="s">
        <v>75</v>
      </c>
    </row>
    <row r="12" spans="1:17" s="9" customFormat="1" x14ac:dyDescent="0.35">
      <c r="A12" s="10">
        <f t="shared" si="0"/>
        <v>3</v>
      </c>
      <c r="B12" s="11" t="s">
        <v>18</v>
      </c>
      <c r="D12" s="10">
        <f t="shared" si="1"/>
        <v>3</v>
      </c>
      <c r="E12" s="11" t="s">
        <v>56</v>
      </c>
      <c r="G12" s="10">
        <f t="shared" si="2"/>
        <v>3</v>
      </c>
      <c r="H12" s="11" t="s">
        <v>56</v>
      </c>
      <c r="J12" s="10">
        <f>J11+1</f>
        <v>3</v>
      </c>
      <c r="K12" s="11" t="s">
        <v>75</v>
      </c>
    </row>
    <row r="13" spans="1:17" s="9" customFormat="1" x14ac:dyDescent="0.35">
      <c r="A13" s="10">
        <f t="shared" si="0"/>
        <v>4</v>
      </c>
      <c r="B13" s="11" t="s">
        <v>22</v>
      </c>
      <c r="D13" s="10">
        <f t="shared" si="1"/>
        <v>4</v>
      </c>
      <c r="E13" s="11" t="s">
        <v>81</v>
      </c>
      <c r="G13" s="10">
        <f t="shared" si="2"/>
        <v>4</v>
      </c>
      <c r="H13" s="11" t="s">
        <v>75</v>
      </c>
      <c r="J13" s="10">
        <f>J12+1</f>
        <v>4</v>
      </c>
      <c r="K13" s="11" t="s">
        <v>56</v>
      </c>
    </row>
    <row r="14" spans="1:17" s="9" customFormat="1" x14ac:dyDescent="0.35">
      <c r="A14" s="10">
        <f t="shared" si="0"/>
        <v>5</v>
      </c>
      <c r="B14" s="11" t="s">
        <v>24</v>
      </c>
      <c r="D14" s="10">
        <f t="shared" si="1"/>
        <v>5</v>
      </c>
      <c r="E14" s="11" t="s">
        <v>44</v>
      </c>
      <c r="G14" s="10">
        <f t="shared" si="2"/>
        <v>5</v>
      </c>
      <c r="H14" s="11" t="s">
        <v>24</v>
      </c>
    </row>
    <row r="15" spans="1:17" s="9" customFormat="1" x14ac:dyDescent="0.35">
      <c r="A15" s="10">
        <f t="shared" si="0"/>
        <v>6</v>
      </c>
      <c r="B15" s="11" t="s">
        <v>25</v>
      </c>
      <c r="D15" s="10">
        <f t="shared" si="1"/>
        <v>6</v>
      </c>
      <c r="E15" s="11" t="s">
        <v>24</v>
      </c>
      <c r="G15" s="10">
        <f t="shared" si="2"/>
        <v>6</v>
      </c>
      <c r="H15" s="11" t="s">
        <v>81</v>
      </c>
    </row>
    <row r="16" spans="1:17" s="9" customFormat="1" x14ac:dyDescent="0.35">
      <c r="A16" s="10">
        <f t="shared" si="0"/>
        <v>7</v>
      </c>
      <c r="B16" s="11" t="s">
        <v>33</v>
      </c>
      <c r="D16" s="10">
        <f t="shared" si="1"/>
        <v>7</v>
      </c>
      <c r="E16" s="11" t="s">
        <v>37</v>
      </c>
      <c r="G16" s="10">
        <f t="shared" si="2"/>
        <v>7</v>
      </c>
      <c r="H16" s="11" t="s">
        <v>82</v>
      </c>
    </row>
    <row r="17" spans="1:11" s="9" customFormat="1" x14ac:dyDescent="0.35">
      <c r="A17" s="10">
        <f t="shared" si="0"/>
        <v>8</v>
      </c>
      <c r="B17" s="11" t="s">
        <v>30</v>
      </c>
      <c r="D17" s="10">
        <f t="shared" si="1"/>
        <v>8</v>
      </c>
      <c r="E17" s="11" t="s">
        <v>75</v>
      </c>
      <c r="G17" s="10">
        <f t="shared" si="2"/>
        <v>8</v>
      </c>
      <c r="H17" s="11" t="s">
        <v>37</v>
      </c>
    </row>
    <row r="18" spans="1:11" s="9" customFormat="1" x14ac:dyDescent="0.35">
      <c r="A18" s="10">
        <f t="shared" si="0"/>
        <v>9</v>
      </c>
      <c r="B18" s="11" t="s">
        <v>37</v>
      </c>
      <c r="D18" s="10">
        <f t="shared" si="1"/>
        <v>9</v>
      </c>
      <c r="E18" s="11" t="s">
        <v>68</v>
      </c>
    </row>
    <row r="19" spans="1:11" s="9" customFormat="1" x14ac:dyDescent="0.35">
      <c r="A19" s="10">
        <f t="shared" si="0"/>
        <v>10</v>
      </c>
      <c r="B19" s="11" t="s">
        <v>38</v>
      </c>
      <c r="D19" s="10">
        <f t="shared" si="1"/>
        <v>10</v>
      </c>
      <c r="E19" s="11" t="s">
        <v>25</v>
      </c>
    </row>
    <row r="20" spans="1:11" s="9" customFormat="1" x14ac:dyDescent="0.35">
      <c r="A20" s="10">
        <f t="shared" si="0"/>
        <v>11</v>
      </c>
      <c r="B20" s="11" t="s">
        <v>43</v>
      </c>
      <c r="D20" s="10">
        <f t="shared" si="1"/>
        <v>11</v>
      </c>
      <c r="E20" s="11" t="s">
        <v>59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44</v>
      </c>
      <c r="D21" s="10">
        <f t="shared" si="1"/>
        <v>12</v>
      </c>
      <c r="E21" s="11" t="s">
        <v>18</v>
      </c>
    </row>
    <row r="22" spans="1:11" s="9" customFormat="1" x14ac:dyDescent="0.35">
      <c r="A22" s="10">
        <f t="shared" si="0"/>
        <v>13</v>
      </c>
      <c r="B22" s="11" t="s">
        <v>49</v>
      </c>
      <c r="D22" s="10">
        <f t="shared" si="1"/>
        <v>13</v>
      </c>
      <c r="E22" s="11" t="s">
        <v>30</v>
      </c>
      <c r="H22" s="9" t="s">
        <v>113</v>
      </c>
      <c r="K22" s="11" t="s">
        <v>208</v>
      </c>
    </row>
    <row r="23" spans="1:11" s="9" customFormat="1" x14ac:dyDescent="0.35">
      <c r="A23" s="10">
        <f t="shared" si="0"/>
        <v>14</v>
      </c>
      <c r="B23" s="11" t="s">
        <v>51</v>
      </c>
      <c r="D23" s="10">
        <f t="shared" si="1"/>
        <v>14</v>
      </c>
      <c r="E23" s="11" t="s">
        <v>65</v>
      </c>
      <c r="H23" s="9" t="s">
        <v>116</v>
      </c>
      <c r="K23" s="11" t="s">
        <v>63</v>
      </c>
    </row>
    <row r="24" spans="1:11" s="9" customFormat="1" x14ac:dyDescent="0.35">
      <c r="A24" s="10">
        <f t="shared" si="0"/>
        <v>15</v>
      </c>
      <c r="B24" s="11" t="s">
        <v>56</v>
      </c>
      <c r="D24" s="10">
        <f t="shared" si="1"/>
        <v>15</v>
      </c>
      <c r="E24" s="11" t="s">
        <v>82</v>
      </c>
      <c r="H24" s="9" t="s">
        <v>119</v>
      </c>
      <c r="K24" s="11" t="s">
        <v>208</v>
      </c>
    </row>
    <row r="25" spans="1:11" s="9" customFormat="1" x14ac:dyDescent="0.35">
      <c r="A25" s="10">
        <f t="shared" si="0"/>
        <v>16</v>
      </c>
      <c r="B25" s="11" t="s">
        <v>59</v>
      </c>
      <c r="D25" s="10">
        <f t="shared" si="1"/>
        <v>16</v>
      </c>
      <c r="E25" s="11" t="s">
        <v>38</v>
      </c>
    </row>
    <row r="26" spans="1:11" s="9" customFormat="1" x14ac:dyDescent="0.35">
      <c r="A26" s="10">
        <f t="shared" si="0"/>
        <v>17</v>
      </c>
      <c r="B26" s="11" t="s">
        <v>62</v>
      </c>
      <c r="H26" s="9" t="s">
        <v>122</v>
      </c>
    </row>
    <row r="27" spans="1:11" s="9" customFormat="1" x14ac:dyDescent="0.35">
      <c r="A27" s="10">
        <f t="shared" si="0"/>
        <v>18</v>
      </c>
      <c r="B27" s="11" t="s">
        <v>65</v>
      </c>
      <c r="H27" s="9" t="s">
        <v>124</v>
      </c>
      <c r="K27" s="13" t="s">
        <v>213</v>
      </c>
    </row>
    <row r="28" spans="1:11" x14ac:dyDescent="0.35">
      <c r="A28" s="10">
        <f t="shared" si="0"/>
        <v>19</v>
      </c>
      <c r="B28" s="11" t="s">
        <v>68</v>
      </c>
    </row>
    <row r="29" spans="1:11" x14ac:dyDescent="0.35">
      <c r="A29" s="10">
        <f t="shared" si="0"/>
        <v>20</v>
      </c>
      <c r="B29" s="11" t="s">
        <v>70</v>
      </c>
    </row>
    <row r="30" spans="1:11" x14ac:dyDescent="0.35">
      <c r="A30" s="10">
        <f t="shared" si="0"/>
        <v>21</v>
      </c>
      <c r="B30" s="11" t="s">
        <v>75</v>
      </c>
    </row>
    <row r="31" spans="1:11" x14ac:dyDescent="0.35">
      <c r="A31" s="10">
        <f t="shared" si="0"/>
        <v>22</v>
      </c>
      <c r="B31" s="11" t="s">
        <v>77</v>
      </c>
    </row>
    <row r="32" spans="1:11" x14ac:dyDescent="0.35">
      <c r="A32" s="10">
        <f t="shared" si="0"/>
        <v>23</v>
      </c>
      <c r="B32" s="11" t="s">
        <v>81</v>
      </c>
    </row>
    <row r="33" spans="1:2" x14ac:dyDescent="0.35">
      <c r="A33" s="10">
        <f t="shared" si="0"/>
        <v>24</v>
      </c>
      <c r="B33" s="11" t="s">
        <v>82</v>
      </c>
    </row>
    <row r="34" spans="1:2" x14ac:dyDescent="0.35">
      <c r="A34" s="10">
        <f t="shared" si="0"/>
        <v>25</v>
      </c>
      <c r="B34" s="11" t="s">
        <v>13</v>
      </c>
    </row>
    <row r="35" spans="1:2" x14ac:dyDescent="0.35">
      <c r="A35" s="10">
        <f t="shared" si="0"/>
        <v>26</v>
      </c>
      <c r="B35" s="11" t="s">
        <v>40</v>
      </c>
    </row>
    <row r="36" spans="1:2" x14ac:dyDescent="0.35">
      <c r="A36" s="10">
        <f t="shared" si="0"/>
        <v>27</v>
      </c>
      <c r="B36" s="11" t="s">
        <v>45</v>
      </c>
    </row>
    <row r="37" spans="1:2" x14ac:dyDescent="0.35">
      <c r="A37" s="10">
        <f t="shared" si="0"/>
        <v>28</v>
      </c>
      <c r="B37" s="11" t="s">
        <v>78</v>
      </c>
    </row>
    <row r="38" spans="1:2" x14ac:dyDescent="0.35">
      <c r="A38" s="10">
        <f t="shared" si="0"/>
        <v>29</v>
      </c>
      <c r="B38" s="11" t="s">
        <v>83</v>
      </c>
    </row>
    <row r="39" spans="1:2" x14ac:dyDescent="0.35">
      <c r="A39" s="10">
        <f t="shared" si="0"/>
        <v>30</v>
      </c>
      <c r="B39" s="11" t="s">
        <v>32</v>
      </c>
    </row>
    <row r="40" spans="1:2" x14ac:dyDescent="0.35">
      <c r="A40" s="10">
        <f t="shared" si="0"/>
        <v>31</v>
      </c>
      <c r="B40" s="11" t="s">
        <v>19</v>
      </c>
    </row>
    <row r="41" spans="1:2" x14ac:dyDescent="0.35">
      <c r="A41" s="10">
        <f t="shared" si="0"/>
        <v>32</v>
      </c>
      <c r="B41" s="11" t="s">
        <v>64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2CA1-DCCC-47B0-9225-2CA976D6C344}">
  <sheetPr>
    <tabColor theme="8" tint="0.39997558519241921"/>
  </sheetPr>
  <dimension ref="A6:J82"/>
  <sheetViews>
    <sheetView topLeftCell="A68" workbookViewId="0">
      <selection activeCell="J80" sqref="J80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1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0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3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1</v>
      </c>
      <c r="G14" s="3" t="s">
        <v>12</v>
      </c>
      <c r="H14" s="2" t="str">
        <f t="shared" si="0"/>
        <v>D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1</v>
      </c>
      <c r="F15" s="4">
        <v>1</v>
      </c>
      <c r="G15" s="3" t="s">
        <v>19</v>
      </c>
      <c r="H15" s="2" t="str">
        <f t="shared" si="0"/>
        <v>D</v>
      </c>
      <c r="J15">
        <v>3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3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1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2</v>
      </c>
      <c r="F19" s="4">
        <v>1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0</v>
      </c>
      <c r="F20" s="4">
        <v>0</v>
      </c>
      <c r="G20" s="3" t="s">
        <v>21</v>
      </c>
      <c r="H20" s="2" t="str">
        <f t="shared" si="0"/>
        <v>D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1</v>
      </c>
      <c r="F21" s="4">
        <v>2</v>
      </c>
      <c r="G21" s="3" t="s">
        <v>25</v>
      </c>
      <c r="H21" s="2" t="str">
        <f t="shared" si="0"/>
        <v>A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3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0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5</v>
      </c>
      <c r="F24" s="4">
        <v>1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1</v>
      </c>
      <c r="G28" s="3" t="s">
        <v>33</v>
      </c>
      <c r="H28" s="2" t="str">
        <f t="shared" si="0"/>
        <v>D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0</v>
      </c>
      <c r="F31" s="4">
        <v>1</v>
      </c>
      <c r="G31" s="3" t="s">
        <v>30</v>
      </c>
      <c r="H31" s="2" t="str">
        <f t="shared" si="0"/>
        <v>A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2</v>
      </c>
      <c r="F32" s="4">
        <v>2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0</v>
      </c>
      <c r="G34" s="3" t="s">
        <v>40</v>
      </c>
      <c r="H34" s="2" t="str">
        <f t="shared" si="0"/>
        <v>H</v>
      </c>
      <c r="J34">
        <v>3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1</v>
      </c>
      <c r="F35" s="4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1</v>
      </c>
      <c r="F36" s="4">
        <v>1</v>
      </c>
      <c r="G36" s="3" t="s">
        <v>38</v>
      </c>
      <c r="H36" s="2" t="str">
        <f t="shared" si="0"/>
        <v>D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0</v>
      </c>
      <c r="G37" s="3" t="s">
        <v>37</v>
      </c>
      <c r="H37" s="2" t="str">
        <f t="shared" si="0"/>
        <v>H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0</v>
      </c>
      <c r="F38" s="4">
        <v>0</v>
      </c>
      <c r="G38" s="3" t="s">
        <v>39</v>
      </c>
      <c r="H38" s="2" t="str">
        <f t="shared" si="0"/>
        <v>D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1</v>
      </c>
      <c r="F39" s="4">
        <v>2</v>
      </c>
      <c r="G39" s="3" t="s">
        <v>44</v>
      </c>
      <c r="H39" s="2" t="str">
        <f t="shared" si="0"/>
        <v>A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2</v>
      </c>
      <c r="F40" s="4">
        <v>1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0</v>
      </c>
      <c r="F41" s="4">
        <v>0</v>
      </c>
      <c r="G41" s="3" t="s">
        <v>45</v>
      </c>
      <c r="H41" s="2" t="str">
        <f t="shared" ref="H41:H72" si="1">IF(AND(E41&lt;&gt;"",F41&lt;&gt;""),IF(E41&gt;F41,"H",IF(E41&lt;F41,"A","D")),"")</f>
        <v>D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1</v>
      </c>
      <c r="F42" s="4">
        <v>1</v>
      </c>
      <c r="G42" s="3" t="s">
        <v>44</v>
      </c>
      <c r="H42" s="2" t="str">
        <f t="shared" si="1"/>
        <v>D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1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1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1</v>
      </c>
      <c r="F45" s="4">
        <v>1</v>
      </c>
      <c r="G45" s="3" t="s">
        <v>50</v>
      </c>
      <c r="H45" s="2" t="str">
        <f t="shared" si="1"/>
        <v>D</v>
      </c>
      <c r="J45">
        <v>3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2</v>
      </c>
      <c r="F46" s="4">
        <v>1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2</v>
      </c>
      <c r="G47" s="3" t="s">
        <v>51</v>
      </c>
      <c r="H47" s="2" t="str">
        <f t="shared" si="1"/>
        <v>D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1</v>
      </c>
      <c r="F50" s="4">
        <v>2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3</v>
      </c>
      <c r="F53" s="4">
        <v>1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4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2</v>
      </c>
      <c r="G55" s="3" t="s">
        <v>58</v>
      </c>
      <c r="H55" s="2" t="str">
        <f t="shared" si="1"/>
        <v>A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2</v>
      </c>
      <c r="F56" s="4">
        <v>2</v>
      </c>
      <c r="G56" s="3" t="s">
        <v>56</v>
      </c>
      <c r="H56" s="2" t="str">
        <f t="shared" si="1"/>
        <v>D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1</v>
      </c>
      <c r="F57" s="4">
        <v>1</v>
      </c>
      <c r="G57" s="3" t="s">
        <v>63</v>
      </c>
      <c r="H57" s="2" t="str">
        <f t="shared" si="1"/>
        <v>D</v>
      </c>
      <c r="J57">
        <v>0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1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2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1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1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1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3</v>
      </c>
      <c r="F63" s="4">
        <v>0</v>
      </c>
      <c r="G63" s="3" t="s">
        <v>69</v>
      </c>
      <c r="H63" s="2" t="str">
        <f t="shared" si="1"/>
        <v>H</v>
      </c>
      <c r="J63">
        <v>3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1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0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1</v>
      </c>
      <c r="F66" s="4">
        <v>1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0</v>
      </c>
      <c r="F67" s="4">
        <v>1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2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3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1</v>
      </c>
      <c r="G70" s="3" t="s">
        <v>78</v>
      </c>
      <c r="H70" s="2" t="str">
        <f t="shared" si="1"/>
        <v>D</v>
      </c>
      <c r="J70">
        <v>0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3</v>
      </c>
      <c r="F72" s="4">
        <v>1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1</v>
      </c>
      <c r="G73" s="3" t="s">
        <v>75</v>
      </c>
      <c r="H73" s="2" t="str">
        <f t="shared" ref="H73:H80" si="2">IF(AND(E73&lt;&gt;"",F73&lt;&gt;""),IF(E73&gt;F73,"H",IF(E73&lt;F73,"A","D")),"")</f>
        <v>D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2</v>
      </c>
      <c r="G74" s="3" t="s">
        <v>77</v>
      </c>
      <c r="H74" s="2" t="str">
        <f t="shared" si="2"/>
        <v>A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2</v>
      </c>
      <c r="G75" s="3" t="s">
        <v>82</v>
      </c>
      <c r="H75" s="2" t="str">
        <f t="shared" si="2"/>
        <v>D</v>
      </c>
      <c r="J75">
        <v>0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0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1</v>
      </c>
      <c r="F77" s="4">
        <v>1</v>
      </c>
      <c r="G77" s="3" t="s">
        <v>83</v>
      </c>
      <c r="H77" s="2" t="str">
        <f t="shared" si="2"/>
        <v>D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1</v>
      </c>
      <c r="F78" s="4">
        <v>3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5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1</v>
      </c>
      <c r="G80" s="3" t="s">
        <v>83</v>
      </c>
      <c r="H80" s="2" t="str">
        <f t="shared" si="2"/>
        <v>D</v>
      </c>
      <c r="J80" s="54"/>
    </row>
    <row r="82" spans="10:10" x14ac:dyDescent="0.35">
      <c r="J82">
        <f>SUM(J8:J80)</f>
        <v>20</v>
      </c>
    </row>
  </sheetData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D6C7-6F16-460D-A8DB-0FE0FC8BCF4A}">
  <sheetPr>
    <tabColor theme="8" tint="0.39997558519241921"/>
  </sheetPr>
  <dimension ref="A5:Q42"/>
  <sheetViews>
    <sheetView topLeftCell="A7" workbookViewId="0">
      <selection activeCell="H21" sqref="H21"/>
    </sheetView>
  </sheetViews>
  <sheetFormatPr defaultColWidth="8.81640625" defaultRowHeight="14.5" x14ac:dyDescent="0.35"/>
  <cols>
    <col min="1" max="1" width="3.1796875" customWidth="1"/>
    <col min="2" max="2" width="20.6328125" customWidth="1"/>
    <col min="3" max="3" width="1.81640625" customWidth="1"/>
    <col min="4" max="4" width="3.1796875" customWidth="1"/>
    <col min="5" max="5" width="20.6328125" customWidth="1"/>
    <col min="6" max="6" width="1.81640625" customWidth="1"/>
    <col min="7" max="7" width="3.1796875" customWidth="1"/>
    <col min="8" max="8" width="20.6328125" customWidth="1"/>
    <col min="9" max="9" width="1.81640625" customWidth="1"/>
    <col min="10" max="10" width="3.1796875" customWidth="1"/>
    <col min="11" max="11" width="20.6328125" customWidth="1"/>
    <col min="12" max="12" width="1.81640625" customWidth="1"/>
    <col min="13" max="13" width="3.1796875" customWidth="1"/>
    <col min="14" max="14" width="20.6328125" customWidth="1"/>
    <col min="15" max="15" width="1.81640625" customWidth="1"/>
    <col min="16" max="16" width="3.179687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33" t="s">
        <v>10</v>
      </c>
      <c r="D10" s="10">
        <v>1</v>
      </c>
      <c r="E10" s="11" t="s">
        <v>37</v>
      </c>
      <c r="G10" s="10">
        <v>1</v>
      </c>
      <c r="H10" s="11" t="s">
        <v>56</v>
      </c>
      <c r="J10" s="10">
        <v>1</v>
      </c>
      <c r="K10" s="11" t="s">
        <v>30</v>
      </c>
      <c r="M10" s="10">
        <v>1</v>
      </c>
      <c r="N10" s="11" t="s">
        <v>62</v>
      </c>
      <c r="P10" s="10">
        <v>1</v>
      </c>
      <c r="Q10" s="11" t="s">
        <v>62</v>
      </c>
    </row>
    <row r="11" spans="1:17" s="9" customFormat="1" x14ac:dyDescent="0.35">
      <c r="A11" s="10">
        <f t="shared" ref="A11:A41" si="0">A10+1</f>
        <v>2</v>
      </c>
      <c r="B11" s="33" t="s">
        <v>13</v>
      </c>
      <c r="D11" s="10">
        <f t="shared" ref="D11:D25" si="1">D10+1</f>
        <v>2</v>
      </c>
      <c r="E11" s="11" t="s">
        <v>56</v>
      </c>
      <c r="G11" s="10">
        <f t="shared" ref="G11:G17" si="2">G10+1</f>
        <v>2</v>
      </c>
      <c r="H11" s="11" t="s">
        <v>62</v>
      </c>
      <c r="J11" s="10">
        <f>J10+1</f>
        <v>2</v>
      </c>
      <c r="K11" s="11" t="s">
        <v>62</v>
      </c>
      <c r="M11" s="10">
        <f>M10+1</f>
        <v>2</v>
      </c>
      <c r="N11" s="11" t="s">
        <v>215</v>
      </c>
    </row>
    <row r="12" spans="1:17" s="9" customFormat="1" x14ac:dyDescent="0.35">
      <c r="A12" s="10">
        <f t="shared" si="0"/>
        <v>3</v>
      </c>
      <c r="B12" s="33" t="s">
        <v>22</v>
      </c>
      <c r="D12" s="10">
        <f t="shared" si="1"/>
        <v>3</v>
      </c>
      <c r="E12" s="11" t="s">
        <v>43</v>
      </c>
      <c r="G12" s="10">
        <f t="shared" si="2"/>
        <v>3</v>
      </c>
      <c r="H12" s="11" t="s">
        <v>68</v>
      </c>
      <c r="J12" s="10">
        <f>J11+1</f>
        <v>3</v>
      </c>
      <c r="K12" s="11" t="s">
        <v>56</v>
      </c>
    </row>
    <row r="13" spans="1:17" s="9" customFormat="1" x14ac:dyDescent="0.35">
      <c r="A13" s="10">
        <f t="shared" si="0"/>
        <v>4</v>
      </c>
      <c r="B13" s="33" t="s">
        <v>18</v>
      </c>
      <c r="D13" s="10">
        <f t="shared" si="1"/>
        <v>4</v>
      </c>
      <c r="E13" s="11" t="s">
        <v>62</v>
      </c>
      <c r="G13" s="10">
        <f t="shared" si="2"/>
        <v>4</v>
      </c>
      <c r="H13" s="11" t="s">
        <v>215</v>
      </c>
      <c r="J13" s="10">
        <f>J12+1</f>
        <v>4</v>
      </c>
      <c r="K13" s="11" t="s">
        <v>215</v>
      </c>
    </row>
    <row r="14" spans="1:17" s="9" customFormat="1" x14ac:dyDescent="0.35">
      <c r="A14" s="10">
        <f t="shared" si="0"/>
        <v>5</v>
      </c>
      <c r="B14" s="33" t="s">
        <v>25</v>
      </c>
      <c r="D14" s="10">
        <f t="shared" si="1"/>
        <v>5</v>
      </c>
      <c r="E14" s="11" t="s">
        <v>81</v>
      </c>
      <c r="G14" s="10">
        <f t="shared" si="2"/>
        <v>5</v>
      </c>
      <c r="H14" s="11" t="s">
        <v>30</v>
      </c>
    </row>
    <row r="15" spans="1:17" s="9" customFormat="1" x14ac:dyDescent="0.35">
      <c r="A15" s="10">
        <f t="shared" si="0"/>
        <v>6</v>
      </c>
      <c r="B15" s="33" t="s">
        <v>24</v>
      </c>
      <c r="D15" s="10">
        <f t="shared" si="1"/>
        <v>6</v>
      </c>
      <c r="E15" s="11" t="s">
        <v>68</v>
      </c>
      <c r="G15" s="10">
        <f t="shared" si="2"/>
        <v>6</v>
      </c>
      <c r="H15" s="11" t="s">
        <v>44</v>
      </c>
    </row>
    <row r="16" spans="1:17" s="9" customFormat="1" x14ac:dyDescent="0.35">
      <c r="A16" s="10">
        <f t="shared" si="0"/>
        <v>7</v>
      </c>
      <c r="B16" s="32" t="s">
        <v>27</v>
      </c>
      <c r="D16" s="10">
        <f t="shared" si="1"/>
        <v>7</v>
      </c>
      <c r="E16" s="11" t="s">
        <v>215</v>
      </c>
      <c r="G16" s="10">
        <f t="shared" si="2"/>
        <v>7</v>
      </c>
      <c r="H16" s="11" t="s">
        <v>75</v>
      </c>
    </row>
    <row r="17" spans="1:11" s="9" customFormat="1" x14ac:dyDescent="0.35">
      <c r="A17" s="10">
        <f t="shared" si="0"/>
        <v>8</v>
      </c>
      <c r="B17" s="33" t="s">
        <v>30</v>
      </c>
      <c r="D17" s="10">
        <f t="shared" si="1"/>
        <v>8</v>
      </c>
      <c r="E17" s="11" t="s">
        <v>59</v>
      </c>
      <c r="G17" s="10">
        <f t="shared" si="2"/>
        <v>8</v>
      </c>
      <c r="H17" s="11" t="s">
        <v>25</v>
      </c>
    </row>
    <row r="18" spans="1:11" s="9" customFormat="1" x14ac:dyDescent="0.35">
      <c r="A18" s="10">
        <f t="shared" si="0"/>
        <v>9</v>
      </c>
      <c r="B18" s="33" t="s">
        <v>33</v>
      </c>
      <c r="D18" s="10">
        <f t="shared" si="1"/>
        <v>9</v>
      </c>
      <c r="E18" s="11" t="s">
        <v>25</v>
      </c>
    </row>
    <row r="19" spans="1:11" s="9" customFormat="1" x14ac:dyDescent="0.35">
      <c r="A19" s="10">
        <f t="shared" si="0"/>
        <v>10</v>
      </c>
      <c r="B19" s="34" t="s">
        <v>31</v>
      </c>
      <c r="D19" s="10">
        <f t="shared" si="1"/>
        <v>10</v>
      </c>
      <c r="E19" s="11" t="s">
        <v>58</v>
      </c>
    </row>
    <row r="20" spans="1:11" s="9" customFormat="1" x14ac:dyDescent="0.35">
      <c r="A20" s="10">
        <f t="shared" si="0"/>
        <v>11</v>
      </c>
      <c r="B20" s="33" t="s">
        <v>37</v>
      </c>
      <c r="D20" s="10">
        <f t="shared" si="1"/>
        <v>11</v>
      </c>
      <c r="E20" s="11" t="s">
        <v>75</v>
      </c>
      <c r="H20" s="12" t="s">
        <v>110</v>
      </c>
    </row>
    <row r="21" spans="1:11" s="9" customFormat="1" x14ac:dyDescent="0.35">
      <c r="A21" s="10">
        <f t="shared" si="0"/>
        <v>12</v>
      </c>
      <c r="B21" s="33" t="s">
        <v>40</v>
      </c>
      <c r="D21" s="10">
        <f t="shared" si="1"/>
        <v>12</v>
      </c>
      <c r="E21" s="11" t="s">
        <v>82</v>
      </c>
    </row>
    <row r="22" spans="1:11" s="9" customFormat="1" x14ac:dyDescent="0.35">
      <c r="A22" s="10">
        <f t="shared" si="0"/>
        <v>13</v>
      </c>
      <c r="B22" s="33" t="s">
        <v>44</v>
      </c>
      <c r="D22" s="10">
        <f t="shared" si="1"/>
        <v>13</v>
      </c>
      <c r="E22" s="11" t="s">
        <v>10</v>
      </c>
      <c r="H22" s="9" t="s">
        <v>113</v>
      </c>
      <c r="K22" s="35" t="s">
        <v>143</v>
      </c>
    </row>
    <row r="23" spans="1:11" s="9" customFormat="1" x14ac:dyDescent="0.35">
      <c r="A23" s="10">
        <f t="shared" si="0"/>
        <v>14</v>
      </c>
      <c r="B23" s="33" t="s">
        <v>45</v>
      </c>
      <c r="D23" s="10">
        <f t="shared" si="1"/>
        <v>14</v>
      </c>
      <c r="E23" s="11" t="s">
        <v>22</v>
      </c>
      <c r="H23" s="9" t="s">
        <v>116</v>
      </c>
      <c r="K23" s="34" t="s">
        <v>11</v>
      </c>
    </row>
    <row r="24" spans="1:11" s="9" customFormat="1" x14ac:dyDescent="0.35">
      <c r="A24" s="10">
        <f t="shared" si="0"/>
        <v>15</v>
      </c>
      <c r="B24" s="32" t="s">
        <v>43</v>
      </c>
      <c r="D24" s="10">
        <f t="shared" si="1"/>
        <v>15</v>
      </c>
      <c r="E24" s="11" t="s">
        <v>30</v>
      </c>
      <c r="H24" s="9" t="s">
        <v>119</v>
      </c>
      <c r="K24" s="11" t="s">
        <v>214</v>
      </c>
    </row>
    <row r="25" spans="1:11" s="9" customFormat="1" x14ac:dyDescent="0.35">
      <c r="A25" s="10">
        <f t="shared" si="0"/>
        <v>16</v>
      </c>
      <c r="B25" s="33" t="s">
        <v>49</v>
      </c>
      <c r="D25" s="10">
        <f t="shared" si="1"/>
        <v>16</v>
      </c>
      <c r="E25" s="11" t="s">
        <v>44</v>
      </c>
    </row>
    <row r="26" spans="1:11" s="9" customFormat="1" x14ac:dyDescent="0.35">
      <c r="A26" s="10">
        <f t="shared" si="0"/>
        <v>17</v>
      </c>
      <c r="B26" s="33" t="s">
        <v>51</v>
      </c>
      <c r="H26" s="9" t="s">
        <v>122</v>
      </c>
      <c r="K26" s="13">
        <v>237</v>
      </c>
    </row>
    <row r="27" spans="1:11" s="9" customFormat="1" x14ac:dyDescent="0.35">
      <c r="A27" s="10">
        <f t="shared" si="0"/>
        <v>18</v>
      </c>
      <c r="B27" s="32" t="s">
        <v>50</v>
      </c>
      <c r="H27" s="9" t="s">
        <v>124</v>
      </c>
    </row>
    <row r="28" spans="1:11" x14ac:dyDescent="0.35">
      <c r="A28" s="10">
        <f t="shared" si="0"/>
        <v>19</v>
      </c>
      <c r="B28" s="33" t="s">
        <v>56</v>
      </c>
    </row>
    <row r="29" spans="1:11" x14ac:dyDescent="0.35">
      <c r="A29" s="10">
        <f t="shared" si="0"/>
        <v>20</v>
      </c>
      <c r="B29" s="33" t="s">
        <v>59</v>
      </c>
    </row>
    <row r="30" spans="1:11" x14ac:dyDescent="0.35">
      <c r="A30" s="10">
        <f t="shared" si="0"/>
        <v>21</v>
      </c>
      <c r="B30" s="32" t="s">
        <v>58</v>
      </c>
    </row>
    <row r="31" spans="1:11" x14ac:dyDescent="0.35">
      <c r="A31" s="10">
        <f t="shared" si="0"/>
        <v>22</v>
      </c>
      <c r="B31" s="33" t="s">
        <v>65</v>
      </c>
    </row>
    <row r="32" spans="1:11" x14ac:dyDescent="0.35">
      <c r="A32" s="10">
        <f t="shared" si="0"/>
        <v>23</v>
      </c>
      <c r="B32" s="33" t="s">
        <v>62</v>
      </c>
    </row>
    <row r="33" spans="1:2" x14ac:dyDescent="0.35">
      <c r="A33" s="10">
        <f t="shared" si="0"/>
        <v>24</v>
      </c>
      <c r="B33" s="32" t="s">
        <v>63</v>
      </c>
    </row>
    <row r="34" spans="1:2" x14ac:dyDescent="0.35">
      <c r="A34" s="10">
        <f t="shared" si="0"/>
        <v>25</v>
      </c>
      <c r="B34" s="33" t="s">
        <v>68</v>
      </c>
    </row>
    <row r="35" spans="1:2" x14ac:dyDescent="0.35">
      <c r="A35" s="10">
        <f t="shared" si="0"/>
        <v>26</v>
      </c>
      <c r="B35" s="33" t="s">
        <v>70</v>
      </c>
    </row>
    <row r="36" spans="1:2" x14ac:dyDescent="0.35">
      <c r="A36" s="10">
        <f t="shared" si="0"/>
        <v>27</v>
      </c>
      <c r="B36" s="34" t="s">
        <v>69</v>
      </c>
    </row>
    <row r="37" spans="1:2" x14ac:dyDescent="0.35">
      <c r="A37" s="10">
        <f t="shared" si="0"/>
        <v>28</v>
      </c>
      <c r="B37" s="33" t="s">
        <v>75</v>
      </c>
    </row>
    <row r="38" spans="1:2" x14ac:dyDescent="0.35">
      <c r="A38" s="10">
        <f t="shared" si="0"/>
        <v>29</v>
      </c>
      <c r="B38" s="33" t="s">
        <v>78</v>
      </c>
    </row>
    <row r="39" spans="1:2" x14ac:dyDescent="0.35">
      <c r="A39" s="10">
        <f t="shared" si="0"/>
        <v>30</v>
      </c>
      <c r="B39" s="32" t="s">
        <v>77</v>
      </c>
    </row>
    <row r="40" spans="1:2" x14ac:dyDescent="0.35">
      <c r="A40" s="10">
        <f t="shared" si="0"/>
        <v>31</v>
      </c>
      <c r="B40" s="33" t="s">
        <v>81</v>
      </c>
    </row>
    <row r="41" spans="1:2" x14ac:dyDescent="0.35">
      <c r="A41" s="10">
        <f t="shared" si="0"/>
        <v>32</v>
      </c>
      <c r="B41" s="33" t="s">
        <v>82</v>
      </c>
    </row>
    <row r="42" spans="1:2" x14ac:dyDescent="0.35">
      <c r="A42" s="10"/>
      <c r="B42" s="32" t="s">
        <v>83</v>
      </c>
    </row>
  </sheetData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78E8-090F-4E63-BF8D-3ACC21FA1241}">
  <sheetPr>
    <tabColor theme="8" tint="0.39997558519241921"/>
  </sheetPr>
  <dimension ref="A6:J82"/>
  <sheetViews>
    <sheetView topLeftCell="A66" workbookViewId="0">
      <selection activeCell="J79" sqref="J79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1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1</v>
      </c>
      <c r="G13" s="3" t="s">
        <v>10</v>
      </c>
      <c r="H13" s="2" t="str">
        <f t="shared" si="0"/>
        <v>D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0</v>
      </c>
      <c r="F14" s="4">
        <v>1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1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1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1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3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1</v>
      </c>
      <c r="G25" s="3" t="s">
        <v>24</v>
      </c>
      <c r="H25" s="2" t="str">
        <f t="shared" si="0"/>
        <v>D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2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1</v>
      </c>
      <c r="F27" s="4">
        <v>0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2</v>
      </c>
      <c r="F34" s="4">
        <v>1</v>
      </c>
      <c r="G34" s="3" t="s">
        <v>40</v>
      </c>
      <c r="H34" s="2" t="str">
        <f t="shared" si="0"/>
        <v>H</v>
      </c>
      <c r="J34">
        <v>1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1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0</v>
      </c>
      <c r="F36" s="4">
        <v>0</v>
      </c>
      <c r="G36" s="3" t="s">
        <v>38</v>
      </c>
      <c r="H36" s="2" t="str">
        <f t="shared" si="0"/>
        <v>D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1</v>
      </c>
      <c r="G37" s="3" t="s">
        <v>37</v>
      </c>
      <c r="H37" s="2" t="str">
        <f t="shared" si="0"/>
        <v>D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0</v>
      </c>
      <c r="F38" s="4">
        <v>0</v>
      </c>
      <c r="G38" s="3" t="s">
        <v>39</v>
      </c>
      <c r="H38" s="2" t="str">
        <f t="shared" si="0"/>
        <v>D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1</v>
      </c>
      <c r="F39" s="4">
        <v>1</v>
      </c>
      <c r="G39" s="3" t="s">
        <v>44</v>
      </c>
      <c r="H39" s="2" t="str">
        <f t="shared" si="0"/>
        <v>D</v>
      </c>
      <c r="J39">
        <v>1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0</v>
      </c>
      <c r="F40" s="4">
        <v>0</v>
      </c>
      <c r="G40" s="3" t="s">
        <v>46</v>
      </c>
      <c r="H40" s="2" t="str">
        <f t="shared" si="0"/>
        <v>D</v>
      </c>
      <c r="J40">
        <v>0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1</v>
      </c>
      <c r="F42" s="4">
        <v>2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1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0</v>
      </c>
      <c r="G44" s="3" t="s">
        <v>43</v>
      </c>
      <c r="H44" s="2" t="str">
        <f t="shared" si="1"/>
        <v>D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0</v>
      </c>
      <c r="F46" s="4">
        <v>1</v>
      </c>
      <c r="G46" s="3" t="s">
        <v>52</v>
      </c>
      <c r="H46" s="2" t="str">
        <f t="shared" si="1"/>
        <v>A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3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 t="s">
        <v>216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3</v>
      </c>
      <c r="F49" s="4">
        <v>0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1</v>
      </c>
      <c r="F50" s="4">
        <v>1</v>
      </c>
      <c r="G50" s="3" t="s">
        <v>49</v>
      </c>
      <c r="H50" s="2" t="str">
        <f t="shared" si="1"/>
        <v>D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4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1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1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1</v>
      </c>
      <c r="G56" s="3" t="s">
        <v>56</v>
      </c>
      <c r="H56" s="2" t="str">
        <f t="shared" si="1"/>
        <v>D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2</v>
      </c>
      <c r="F59" s="4">
        <v>1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1</v>
      </c>
      <c r="F60" s="4">
        <v>1</v>
      </c>
      <c r="G60" s="3" t="s">
        <v>63</v>
      </c>
      <c r="H60" s="2" t="str">
        <f t="shared" si="1"/>
        <v>D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1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1</v>
      </c>
      <c r="F62" s="4">
        <v>1</v>
      </c>
      <c r="G62" s="3" t="s">
        <v>64</v>
      </c>
      <c r="H62" s="2" t="str">
        <f t="shared" si="1"/>
        <v>D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1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0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0</v>
      </c>
      <c r="F67" s="4">
        <v>0</v>
      </c>
      <c r="G67" s="3" t="s">
        <v>70</v>
      </c>
      <c r="H67" s="2" t="str">
        <f t="shared" si="1"/>
        <v>D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2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1</v>
      </c>
      <c r="G70" s="3" t="s">
        <v>78</v>
      </c>
      <c r="H70" s="2" t="str">
        <f t="shared" si="1"/>
        <v>D</v>
      </c>
      <c r="J70">
        <v>0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1</v>
      </c>
      <c r="G73" s="3" t="s">
        <v>75</v>
      </c>
      <c r="H73" s="2" t="str">
        <f t="shared" ref="H73:H80" si="2">IF(AND(E73&lt;&gt;"",F73&lt;&gt;""),IF(E73&gt;F73,"H",IF(E73&lt;F73,"A","D")),"")</f>
        <v>D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1</v>
      </c>
      <c r="F75" s="4">
        <v>1</v>
      </c>
      <c r="G75" s="3" t="s">
        <v>82</v>
      </c>
      <c r="H75" s="2" t="str">
        <f t="shared" si="2"/>
        <v>D</v>
      </c>
      <c r="J75">
        <v>0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1</v>
      </c>
      <c r="F76" s="4">
        <v>0</v>
      </c>
      <c r="G76" s="3" t="s">
        <v>84</v>
      </c>
      <c r="H76" s="2" t="str">
        <f t="shared" si="2"/>
        <v>H</v>
      </c>
      <c r="J76">
        <v>3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1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2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1</v>
      </c>
      <c r="G80" s="3" t="s">
        <v>83</v>
      </c>
      <c r="H80" s="2" t="str">
        <f t="shared" si="2"/>
        <v>D</v>
      </c>
      <c r="J80" s="54"/>
    </row>
    <row r="82" spans="10:10" x14ac:dyDescent="0.35">
      <c r="J82">
        <f>SUM(J8:J80)</f>
        <v>15</v>
      </c>
    </row>
  </sheetData>
  <pageMargins left="0.75" right="0.75" top="1" bottom="1" header="0.5" footer="0.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72FE-C267-4648-9EFF-BBCC9DC5005E}">
  <sheetPr>
    <tabColor theme="8" tint="0.39997558519241921"/>
  </sheetPr>
  <dimension ref="A5:Q42"/>
  <sheetViews>
    <sheetView topLeftCell="A9" workbookViewId="0">
      <selection activeCell="H26" sqref="H26"/>
    </sheetView>
  </sheetViews>
  <sheetFormatPr defaultColWidth="8.7265625" defaultRowHeight="14.5" x14ac:dyDescent="0.35"/>
  <cols>
    <col min="1" max="1" width="3.26953125" customWidth="1"/>
    <col min="2" max="2" width="20.6328125" customWidth="1"/>
    <col min="3" max="3" width="1.7265625" customWidth="1"/>
    <col min="4" max="4" width="3.26953125" customWidth="1"/>
    <col min="5" max="5" width="20.6328125" customWidth="1"/>
    <col min="6" max="6" width="1.7265625" customWidth="1"/>
    <col min="7" max="7" width="3.26953125" customWidth="1"/>
    <col min="8" max="8" width="20.6328125" customWidth="1"/>
    <col min="9" max="9" width="1.7265625" customWidth="1"/>
    <col min="10" max="10" width="3.26953125" customWidth="1"/>
    <col min="11" max="11" width="20.6328125" customWidth="1"/>
    <col min="12" max="12" width="1.7265625" customWidth="1"/>
    <col min="13" max="13" width="3.26953125" customWidth="1"/>
    <col min="14" max="14" width="20.6328125" customWidth="1"/>
    <col min="15" max="15" width="1.7265625" customWidth="1"/>
    <col min="16" max="16" width="3.2695312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156</v>
      </c>
      <c r="G10" s="10">
        <v>1</v>
      </c>
      <c r="H10" s="11" t="s">
        <v>156</v>
      </c>
      <c r="J10" s="10">
        <v>1</v>
      </c>
      <c r="K10" s="11" t="s">
        <v>156</v>
      </c>
      <c r="M10" s="10">
        <v>1</v>
      </c>
      <c r="N10" s="11" t="s">
        <v>155</v>
      </c>
      <c r="P10" s="10">
        <v>1</v>
      </c>
      <c r="Q10" s="11" t="s">
        <v>157</v>
      </c>
    </row>
    <row r="11" spans="1:17" s="9" customFormat="1" x14ac:dyDescent="0.35">
      <c r="A11" s="10">
        <f t="shared" ref="A11:A41" si="0">A10+1</f>
        <v>2</v>
      </c>
      <c r="B11" s="11" t="s">
        <v>170</v>
      </c>
      <c r="D11" s="10">
        <f t="shared" ref="D11:D25" si="1">D10+1</f>
        <v>2</v>
      </c>
      <c r="E11" s="11" t="s">
        <v>151</v>
      </c>
      <c r="G11" s="10">
        <f t="shared" ref="G11:G17" si="2">G10+1</f>
        <v>2</v>
      </c>
      <c r="H11" s="11" t="s">
        <v>151</v>
      </c>
      <c r="J11" s="10">
        <f>J10+1</f>
        <v>2</v>
      </c>
      <c r="K11" s="11" t="s">
        <v>75</v>
      </c>
      <c r="M11" s="10">
        <f>M10+1</f>
        <v>2</v>
      </c>
      <c r="N11" s="11" t="s">
        <v>157</v>
      </c>
    </row>
    <row r="12" spans="1:17" s="9" customFormat="1" x14ac:dyDescent="0.35">
      <c r="A12" s="10">
        <f t="shared" si="0"/>
        <v>3</v>
      </c>
      <c r="B12" s="11" t="s">
        <v>171</v>
      </c>
      <c r="D12" s="10">
        <f t="shared" si="1"/>
        <v>3</v>
      </c>
      <c r="E12" s="11" t="s">
        <v>160</v>
      </c>
      <c r="G12" s="10">
        <f t="shared" si="2"/>
        <v>3</v>
      </c>
      <c r="H12" s="11" t="s">
        <v>177</v>
      </c>
      <c r="J12" s="10">
        <f>J11+1</f>
        <v>3</v>
      </c>
      <c r="K12" s="11" t="s">
        <v>155</v>
      </c>
    </row>
    <row r="13" spans="1:17" s="9" customFormat="1" x14ac:dyDescent="0.35">
      <c r="A13" s="10">
        <f t="shared" si="0"/>
        <v>4</v>
      </c>
      <c r="B13" s="11" t="s">
        <v>169</v>
      </c>
      <c r="D13" s="10">
        <f t="shared" si="1"/>
        <v>4</v>
      </c>
      <c r="E13" s="11" t="s">
        <v>10</v>
      </c>
      <c r="G13" s="10">
        <f t="shared" si="2"/>
        <v>4</v>
      </c>
      <c r="H13" s="11" t="s">
        <v>165</v>
      </c>
      <c r="J13" s="10">
        <f>J12+1</f>
        <v>4</v>
      </c>
      <c r="K13" s="11" t="s">
        <v>157</v>
      </c>
    </row>
    <row r="14" spans="1:17" s="9" customFormat="1" x14ac:dyDescent="0.35">
      <c r="A14" s="10">
        <f t="shared" si="0"/>
        <v>5</v>
      </c>
      <c r="B14" s="11" t="s">
        <v>18</v>
      </c>
      <c r="D14" s="10">
        <f t="shared" si="1"/>
        <v>5</v>
      </c>
      <c r="E14" s="11" t="s">
        <v>33</v>
      </c>
      <c r="G14" s="10">
        <f t="shared" si="2"/>
        <v>5</v>
      </c>
      <c r="H14" s="11" t="s">
        <v>75</v>
      </c>
    </row>
    <row r="15" spans="1:17" s="9" customFormat="1" x14ac:dyDescent="0.35">
      <c r="A15" s="10">
        <f t="shared" si="0"/>
        <v>6</v>
      </c>
      <c r="B15" s="11" t="s">
        <v>167</v>
      </c>
      <c r="D15" s="10">
        <f t="shared" si="1"/>
        <v>6</v>
      </c>
      <c r="E15" s="11" t="s">
        <v>18</v>
      </c>
      <c r="G15" s="10">
        <f t="shared" si="2"/>
        <v>6</v>
      </c>
      <c r="H15" s="11" t="s">
        <v>157</v>
      </c>
    </row>
    <row r="16" spans="1:17" s="9" customFormat="1" x14ac:dyDescent="0.35">
      <c r="A16" s="10">
        <f t="shared" si="0"/>
        <v>7</v>
      </c>
      <c r="B16" s="11" t="s">
        <v>162</v>
      </c>
      <c r="D16" s="10">
        <f t="shared" si="1"/>
        <v>7</v>
      </c>
      <c r="E16" s="11" t="s">
        <v>75</v>
      </c>
      <c r="G16" s="10">
        <f t="shared" si="2"/>
        <v>7</v>
      </c>
      <c r="H16" s="11" t="s">
        <v>155</v>
      </c>
    </row>
    <row r="17" spans="1:11" s="9" customFormat="1" x14ac:dyDescent="0.35">
      <c r="A17" s="10">
        <f t="shared" si="0"/>
        <v>8</v>
      </c>
      <c r="B17" s="11" t="s">
        <v>173</v>
      </c>
      <c r="D17" s="10">
        <f t="shared" si="1"/>
        <v>8</v>
      </c>
      <c r="E17" s="11" t="s">
        <v>44</v>
      </c>
      <c r="G17" s="10">
        <f t="shared" si="2"/>
        <v>8</v>
      </c>
      <c r="H17" s="11" t="s">
        <v>10</v>
      </c>
    </row>
    <row r="18" spans="1:11" s="9" customFormat="1" x14ac:dyDescent="0.35">
      <c r="A18" s="10">
        <f t="shared" si="0"/>
        <v>9</v>
      </c>
      <c r="B18" s="11" t="s">
        <v>33</v>
      </c>
      <c r="D18" s="10">
        <f t="shared" si="1"/>
        <v>9</v>
      </c>
      <c r="E18" s="11" t="s">
        <v>165</v>
      </c>
    </row>
    <row r="19" spans="1:11" s="9" customFormat="1" x14ac:dyDescent="0.35">
      <c r="A19" s="10">
        <f t="shared" si="0"/>
        <v>10</v>
      </c>
      <c r="B19" s="11" t="s">
        <v>30</v>
      </c>
      <c r="D19" s="10">
        <f t="shared" si="1"/>
        <v>10</v>
      </c>
      <c r="E19" s="11" t="s">
        <v>146</v>
      </c>
    </row>
    <row r="20" spans="1:11" s="9" customFormat="1" x14ac:dyDescent="0.35">
      <c r="A20" s="10">
        <f t="shared" si="0"/>
        <v>11</v>
      </c>
      <c r="B20" s="11" t="s">
        <v>31</v>
      </c>
      <c r="D20" s="10">
        <f t="shared" si="1"/>
        <v>11</v>
      </c>
      <c r="E20" s="11" t="s">
        <v>148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165</v>
      </c>
      <c r="D21" s="10">
        <f t="shared" si="1"/>
        <v>12</v>
      </c>
      <c r="E21" s="11" t="s">
        <v>157</v>
      </c>
    </row>
    <row r="22" spans="1:11" s="9" customFormat="1" x14ac:dyDescent="0.35">
      <c r="A22" s="10">
        <f t="shared" si="0"/>
        <v>13</v>
      </c>
      <c r="B22" s="11" t="s">
        <v>164</v>
      </c>
      <c r="D22" s="10">
        <f t="shared" si="1"/>
        <v>13</v>
      </c>
      <c r="E22" s="11" t="s">
        <v>150</v>
      </c>
      <c r="H22" s="9" t="s">
        <v>113</v>
      </c>
      <c r="K22" s="11" t="s">
        <v>221</v>
      </c>
    </row>
    <row r="23" spans="1:11" s="9" customFormat="1" x14ac:dyDescent="0.35">
      <c r="A23" s="10">
        <f t="shared" si="0"/>
        <v>14</v>
      </c>
      <c r="B23" s="11" t="s">
        <v>40</v>
      </c>
      <c r="D23" s="10">
        <f t="shared" si="1"/>
        <v>14</v>
      </c>
      <c r="E23" s="11" t="s">
        <v>30</v>
      </c>
      <c r="H23" s="9" t="s">
        <v>116</v>
      </c>
      <c r="K23" s="11" t="s">
        <v>220</v>
      </c>
    </row>
    <row r="24" spans="1:11" s="9" customFormat="1" x14ac:dyDescent="0.35">
      <c r="A24" s="10">
        <f t="shared" si="0"/>
        <v>15</v>
      </c>
      <c r="B24" s="11" t="s">
        <v>146</v>
      </c>
      <c r="D24" s="10">
        <f t="shared" si="1"/>
        <v>15</v>
      </c>
      <c r="E24" s="11" t="s">
        <v>155</v>
      </c>
      <c r="H24" s="9" t="s">
        <v>119</v>
      </c>
      <c r="K24" s="11" t="s">
        <v>219</v>
      </c>
    </row>
    <row r="25" spans="1:11" s="9" customFormat="1" x14ac:dyDescent="0.35">
      <c r="A25" s="10">
        <f t="shared" si="0"/>
        <v>16</v>
      </c>
      <c r="B25" s="11" t="s">
        <v>44</v>
      </c>
      <c r="D25" s="10">
        <f t="shared" si="1"/>
        <v>16</v>
      </c>
      <c r="E25" s="11" t="s">
        <v>75</v>
      </c>
    </row>
    <row r="26" spans="1:11" s="9" customFormat="1" x14ac:dyDescent="0.35">
      <c r="A26" s="10">
        <f t="shared" si="0"/>
        <v>17</v>
      </c>
      <c r="B26" s="11" t="s">
        <v>160</v>
      </c>
      <c r="H26" s="9" t="s">
        <v>122</v>
      </c>
      <c r="K26" s="13">
        <v>288</v>
      </c>
    </row>
    <row r="27" spans="1:11" s="9" customFormat="1" x14ac:dyDescent="0.35">
      <c r="A27" s="10">
        <f t="shared" si="0"/>
        <v>18</v>
      </c>
      <c r="B27" s="11" t="s">
        <v>158</v>
      </c>
      <c r="H27" s="9" t="s">
        <v>124</v>
      </c>
    </row>
    <row r="28" spans="1:11" x14ac:dyDescent="0.35">
      <c r="A28" s="10">
        <f t="shared" si="0"/>
        <v>19</v>
      </c>
      <c r="B28" s="11" t="s">
        <v>159</v>
      </c>
    </row>
    <row r="29" spans="1:11" x14ac:dyDescent="0.35">
      <c r="A29" s="10">
        <f t="shared" si="0"/>
        <v>20</v>
      </c>
      <c r="B29" s="11" t="s">
        <v>157</v>
      </c>
    </row>
    <row r="30" spans="1:11" x14ac:dyDescent="0.35">
      <c r="A30" s="10">
        <f t="shared" si="0"/>
        <v>21</v>
      </c>
      <c r="B30" s="11" t="s">
        <v>59</v>
      </c>
    </row>
    <row r="31" spans="1:11" x14ac:dyDescent="0.35">
      <c r="A31" s="10">
        <f t="shared" si="0"/>
        <v>22</v>
      </c>
      <c r="B31" s="11" t="s">
        <v>218</v>
      </c>
    </row>
    <row r="32" spans="1:11" x14ac:dyDescent="0.35">
      <c r="A32" s="10">
        <f t="shared" si="0"/>
        <v>23</v>
      </c>
      <c r="B32" s="11" t="s">
        <v>156</v>
      </c>
    </row>
    <row r="33" spans="1:2" x14ac:dyDescent="0.35">
      <c r="A33" s="10">
        <f t="shared" si="0"/>
        <v>24</v>
      </c>
      <c r="B33" s="11" t="s">
        <v>148</v>
      </c>
    </row>
    <row r="34" spans="1:2" x14ac:dyDescent="0.35">
      <c r="A34" s="10">
        <f t="shared" si="0"/>
        <v>25</v>
      </c>
      <c r="B34" s="11" t="s">
        <v>155</v>
      </c>
    </row>
    <row r="35" spans="1:2" x14ac:dyDescent="0.35">
      <c r="A35" s="10">
        <f t="shared" si="0"/>
        <v>26</v>
      </c>
      <c r="B35" s="11" t="s">
        <v>175</v>
      </c>
    </row>
    <row r="36" spans="1:2" x14ac:dyDescent="0.35">
      <c r="A36" s="10">
        <f t="shared" si="0"/>
        <v>27</v>
      </c>
      <c r="B36" s="11" t="s">
        <v>154</v>
      </c>
    </row>
    <row r="37" spans="1:2" x14ac:dyDescent="0.35">
      <c r="A37" s="10">
        <f t="shared" si="0"/>
        <v>28</v>
      </c>
      <c r="B37" s="11" t="s">
        <v>75</v>
      </c>
    </row>
    <row r="38" spans="1:2" x14ac:dyDescent="0.35">
      <c r="A38" s="10">
        <f t="shared" si="0"/>
        <v>29</v>
      </c>
      <c r="B38" s="11" t="s">
        <v>78</v>
      </c>
    </row>
    <row r="39" spans="1:2" x14ac:dyDescent="0.35">
      <c r="A39" s="10">
        <f t="shared" si="0"/>
        <v>30</v>
      </c>
      <c r="B39" s="11" t="s">
        <v>152</v>
      </c>
    </row>
    <row r="40" spans="1:2" x14ac:dyDescent="0.35">
      <c r="A40" s="10">
        <f t="shared" si="0"/>
        <v>31</v>
      </c>
      <c r="B40" s="11" t="s">
        <v>217</v>
      </c>
    </row>
    <row r="41" spans="1:2" x14ac:dyDescent="0.35">
      <c r="A41" s="10">
        <f t="shared" si="0"/>
        <v>32</v>
      </c>
      <c r="B41" s="11" t="s">
        <v>150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44BD-CA67-40A4-A141-D7860553F175}">
  <sheetPr>
    <tabColor theme="8" tint="0.39997558519241921"/>
  </sheetPr>
  <dimension ref="A6:J82"/>
  <sheetViews>
    <sheetView topLeftCell="A65" workbookViewId="0">
      <selection activeCell="J83" sqref="J83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1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0</v>
      </c>
      <c r="F10" s="4">
        <v>1</v>
      </c>
      <c r="G10" s="3" t="s">
        <v>13</v>
      </c>
      <c r="H10" s="2" t="str">
        <f t="shared" si="0"/>
        <v>A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1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1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2</v>
      </c>
      <c r="F13" s="4">
        <v>0</v>
      </c>
      <c r="G13" s="3" t="s">
        <v>10</v>
      </c>
      <c r="H13" s="2" t="str">
        <f t="shared" si="0"/>
        <v>H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2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1</v>
      </c>
      <c r="F15" s="4">
        <v>1</v>
      </c>
      <c r="G15" s="3" t="s">
        <v>19</v>
      </c>
      <c r="H15" s="2" t="str">
        <f t="shared" si="0"/>
        <v>D</v>
      </c>
      <c r="J15">
        <v>3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1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1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1</v>
      </c>
      <c r="G23" s="3" t="s">
        <v>25</v>
      </c>
      <c r="H23" s="2" t="str">
        <f t="shared" si="0"/>
        <v>D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3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1</v>
      </c>
      <c r="F30" s="4">
        <v>1</v>
      </c>
      <c r="G30" s="3" t="s">
        <v>31</v>
      </c>
      <c r="H30" s="2" t="str">
        <f t="shared" si="0"/>
        <v>D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2</v>
      </c>
      <c r="F32" s="4">
        <v>1</v>
      </c>
      <c r="G32" s="3" t="s">
        <v>32</v>
      </c>
      <c r="H32" s="2" t="str">
        <f t="shared" si="0"/>
        <v>H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4</v>
      </c>
      <c r="F33" s="4">
        <v>2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1</v>
      </c>
      <c r="G34" s="3" t="s">
        <v>40</v>
      </c>
      <c r="H34" s="2" t="str">
        <f t="shared" si="0"/>
        <v>D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3</v>
      </c>
      <c r="F35" s="4">
        <v>1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0</v>
      </c>
      <c r="F36" s="4">
        <v>2</v>
      </c>
      <c r="G36" s="3" t="s">
        <v>38</v>
      </c>
      <c r="H36" s="2" t="str">
        <f t="shared" si="0"/>
        <v>A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3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3</v>
      </c>
      <c r="F38" s="4">
        <v>1</v>
      </c>
      <c r="G38" s="3" t="s">
        <v>39</v>
      </c>
      <c r="H38" s="2" t="str">
        <f t="shared" si="0"/>
        <v>H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3</v>
      </c>
      <c r="F39" s="4">
        <v>2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1</v>
      </c>
      <c r="G40" s="3" t="s">
        <v>46</v>
      </c>
      <c r="H40" s="2" t="str">
        <f t="shared" si="0"/>
        <v>D</v>
      </c>
      <c r="J40">
        <v>0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1</v>
      </c>
      <c r="F42" s="4">
        <v>3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1</v>
      </c>
      <c r="G43" s="3" t="s">
        <v>45</v>
      </c>
      <c r="H43" s="2" t="str">
        <f t="shared" si="1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1</v>
      </c>
      <c r="F44" s="4">
        <v>3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1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1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1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4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3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1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3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3</v>
      </c>
      <c r="F57" s="4">
        <v>1</v>
      </c>
      <c r="G57" s="3" t="s">
        <v>63</v>
      </c>
      <c r="H57" s="2" t="str">
        <f t="shared" si="1"/>
        <v>H</v>
      </c>
      <c r="J57">
        <v>3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1</v>
      </c>
      <c r="F58" s="4">
        <v>3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3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1</v>
      </c>
      <c r="F60" s="4">
        <v>1</v>
      </c>
      <c r="G60" s="3" t="s">
        <v>63</v>
      </c>
      <c r="H60" s="2" t="str">
        <f t="shared" si="1"/>
        <v>D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2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3</v>
      </c>
      <c r="F63" s="4">
        <v>1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3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1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0</v>
      </c>
      <c r="F67" s="4">
        <v>1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4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3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2</v>
      </c>
      <c r="F70" s="4">
        <v>1</v>
      </c>
      <c r="G70" s="3" t="s">
        <v>78</v>
      </c>
      <c r="H70" s="2" t="str">
        <f t="shared" si="1"/>
        <v>H</v>
      </c>
      <c r="J70">
        <v>0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1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0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1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0</v>
      </c>
      <c r="G80" s="3" t="s">
        <v>83</v>
      </c>
      <c r="H80" s="2" t="str">
        <f t="shared" si="2"/>
        <v>H</v>
      </c>
      <c r="J80" s="54"/>
    </row>
    <row r="82" spans="10:10" x14ac:dyDescent="0.35">
      <c r="J82">
        <f>SUM(J8:J80)</f>
        <v>15</v>
      </c>
    </row>
  </sheetData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CBC4-7C8C-4BDC-929C-64663BC0469B}">
  <sheetPr>
    <tabColor theme="8" tint="0.39997558519241921"/>
  </sheetPr>
  <dimension ref="A5:Q42"/>
  <sheetViews>
    <sheetView topLeftCell="A7" workbookViewId="0">
      <selection activeCell="J22" sqref="J22"/>
    </sheetView>
  </sheetViews>
  <sheetFormatPr defaultColWidth="8.7265625" defaultRowHeight="14.5" x14ac:dyDescent="0.35"/>
  <cols>
    <col min="1" max="1" width="3.26953125" customWidth="1"/>
    <col min="2" max="2" width="20.54296875" customWidth="1"/>
    <col min="3" max="3" width="1.7265625" customWidth="1"/>
    <col min="4" max="4" width="3.26953125" customWidth="1"/>
    <col min="5" max="5" width="20.54296875" customWidth="1"/>
    <col min="6" max="6" width="1.7265625" customWidth="1"/>
    <col min="7" max="7" width="3.26953125" customWidth="1"/>
    <col min="8" max="8" width="20.54296875" customWidth="1"/>
    <col min="9" max="9" width="1.7265625" customWidth="1"/>
    <col min="10" max="10" width="3.26953125" customWidth="1"/>
    <col min="11" max="11" width="20.54296875" customWidth="1"/>
    <col min="12" max="12" width="1.7265625" customWidth="1"/>
    <col min="13" max="13" width="3.26953125" customWidth="1"/>
    <col min="14" max="14" width="20.54296875" customWidth="1"/>
    <col min="15" max="15" width="1.7265625" customWidth="1"/>
    <col min="16" max="16" width="3.26953125" customWidth="1"/>
    <col min="17" max="17" width="20.5429687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10</v>
      </c>
      <c r="G10" s="10">
        <v>1</v>
      </c>
      <c r="H10" s="11" t="s">
        <v>172</v>
      </c>
      <c r="J10" s="10">
        <v>1</v>
      </c>
      <c r="K10" s="11" t="s">
        <v>157</v>
      </c>
      <c r="M10" s="10">
        <v>1</v>
      </c>
      <c r="N10" s="11" t="s">
        <v>157</v>
      </c>
      <c r="P10" s="10">
        <v>1</v>
      </c>
      <c r="Q10" s="11" t="s">
        <v>148</v>
      </c>
    </row>
    <row r="11" spans="1:17" s="9" customFormat="1" x14ac:dyDescent="0.35">
      <c r="A11" s="10">
        <f t="shared" ref="A11:A41" si="0">A10+1</f>
        <v>2</v>
      </c>
      <c r="B11" s="11" t="s">
        <v>187</v>
      </c>
      <c r="D11" s="10">
        <f t="shared" ref="D11:D25" si="1">D10+1</f>
        <v>2</v>
      </c>
      <c r="E11" s="11" t="s">
        <v>169</v>
      </c>
      <c r="G11" s="10">
        <f t="shared" ref="G11:G17" si="2">G10+1</f>
        <v>2</v>
      </c>
      <c r="H11" s="11" t="s">
        <v>157</v>
      </c>
      <c r="J11" s="10">
        <f>J10+1</f>
        <v>2</v>
      </c>
      <c r="K11" s="11" t="s">
        <v>148</v>
      </c>
      <c r="M11" s="10">
        <f>M10+1</f>
        <v>2</v>
      </c>
      <c r="N11" s="11" t="s">
        <v>148</v>
      </c>
    </row>
    <row r="12" spans="1:17" s="9" customFormat="1" x14ac:dyDescent="0.35">
      <c r="A12" s="10">
        <f t="shared" si="0"/>
        <v>3</v>
      </c>
      <c r="B12" s="11" t="s">
        <v>244</v>
      </c>
      <c r="D12" s="10">
        <f t="shared" si="1"/>
        <v>3</v>
      </c>
      <c r="E12" s="11" t="s">
        <v>172</v>
      </c>
      <c r="G12" s="10">
        <f t="shared" si="2"/>
        <v>3</v>
      </c>
      <c r="H12" s="11" t="s">
        <v>148</v>
      </c>
      <c r="J12" s="10">
        <f>J11+1</f>
        <v>3</v>
      </c>
      <c r="K12" s="11" t="s">
        <v>146</v>
      </c>
    </row>
    <row r="13" spans="1:17" s="9" customFormat="1" x14ac:dyDescent="0.35">
      <c r="A13" s="10">
        <f t="shared" si="0"/>
        <v>4</v>
      </c>
      <c r="B13" s="11" t="s">
        <v>18</v>
      </c>
      <c r="D13" s="10">
        <f t="shared" si="1"/>
        <v>4</v>
      </c>
      <c r="E13" s="11" t="s">
        <v>162</v>
      </c>
      <c r="G13" s="10">
        <f t="shared" si="2"/>
        <v>4</v>
      </c>
      <c r="H13" s="11" t="s">
        <v>141</v>
      </c>
      <c r="J13" s="10">
        <f>J12+1</f>
        <v>4</v>
      </c>
      <c r="K13" s="11" t="s">
        <v>141</v>
      </c>
    </row>
    <row r="14" spans="1:17" s="9" customFormat="1" x14ac:dyDescent="0.35">
      <c r="A14" s="10">
        <f t="shared" si="0"/>
        <v>5</v>
      </c>
      <c r="B14" s="11" t="s">
        <v>172</v>
      </c>
      <c r="D14" s="10">
        <f t="shared" si="1"/>
        <v>5</v>
      </c>
      <c r="E14" s="11" t="s">
        <v>30</v>
      </c>
      <c r="G14" s="10">
        <f t="shared" si="2"/>
        <v>5</v>
      </c>
      <c r="H14" s="11" t="s">
        <v>165</v>
      </c>
    </row>
    <row r="15" spans="1:17" s="9" customFormat="1" x14ac:dyDescent="0.35">
      <c r="A15" s="10">
        <f t="shared" si="0"/>
        <v>6</v>
      </c>
      <c r="B15" s="11" t="s">
        <v>162</v>
      </c>
      <c r="D15" s="10">
        <f t="shared" si="1"/>
        <v>6</v>
      </c>
      <c r="E15" s="11" t="s">
        <v>174</v>
      </c>
      <c r="G15" s="10">
        <f t="shared" si="2"/>
        <v>6</v>
      </c>
      <c r="H15" s="11" t="s">
        <v>146</v>
      </c>
    </row>
    <row r="16" spans="1:17" s="9" customFormat="1" x14ac:dyDescent="0.35">
      <c r="A16" s="10">
        <f t="shared" si="0"/>
        <v>7</v>
      </c>
      <c r="B16" s="11" t="s">
        <v>243</v>
      </c>
      <c r="D16" s="10">
        <f t="shared" si="1"/>
        <v>7</v>
      </c>
      <c r="E16" s="11" t="s">
        <v>165</v>
      </c>
      <c r="G16" s="10">
        <f t="shared" si="2"/>
        <v>7</v>
      </c>
      <c r="H16" s="11" t="s">
        <v>44</v>
      </c>
    </row>
    <row r="17" spans="1:11" s="9" customFormat="1" x14ac:dyDescent="0.35">
      <c r="A17" s="10">
        <f t="shared" si="0"/>
        <v>8</v>
      </c>
      <c r="B17" s="11" t="s">
        <v>33</v>
      </c>
      <c r="D17" s="10">
        <f t="shared" si="1"/>
        <v>8</v>
      </c>
      <c r="E17" s="11" t="s">
        <v>146</v>
      </c>
      <c r="G17" s="10">
        <f t="shared" si="2"/>
        <v>8</v>
      </c>
      <c r="H17" s="11" t="s">
        <v>151</v>
      </c>
    </row>
    <row r="18" spans="1:11" s="9" customFormat="1" x14ac:dyDescent="0.35">
      <c r="A18" s="10">
        <f t="shared" si="0"/>
        <v>9</v>
      </c>
      <c r="B18" s="11" t="s">
        <v>165</v>
      </c>
      <c r="D18" s="10">
        <f t="shared" si="1"/>
        <v>9</v>
      </c>
      <c r="E18" s="11" t="s">
        <v>240</v>
      </c>
    </row>
    <row r="19" spans="1:11" s="9" customFormat="1" x14ac:dyDescent="0.35">
      <c r="A19" s="10">
        <f t="shared" si="0"/>
        <v>10</v>
      </c>
      <c r="B19" s="11" t="s">
        <v>242</v>
      </c>
      <c r="D19" s="10">
        <f t="shared" si="1"/>
        <v>10</v>
      </c>
      <c r="E19" s="11" t="s">
        <v>177</v>
      </c>
    </row>
    <row r="20" spans="1:11" s="9" customFormat="1" x14ac:dyDescent="0.35">
      <c r="A20" s="10">
        <f t="shared" si="0"/>
        <v>11</v>
      </c>
      <c r="B20" s="11" t="s">
        <v>146</v>
      </c>
      <c r="D20" s="10">
        <f t="shared" si="1"/>
        <v>11</v>
      </c>
      <c r="E20" s="11" t="s">
        <v>157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44</v>
      </c>
      <c r="D21" s="10">
        <f t="shared" si="1"/>
        <v>12</v>
      </c>
      <c r="E21" s="11" t="s">
        <v>148</v>
      </c>
    </row>
    <row r="22" spans="1:11" s="9" customFormat="1" x14ac:dyDescent="0.35">
      <c r="A22" s="10">
        <f t="shared" si="0"/>
        <v>13</v>
      </c>
      <c r="B22" s="11" t="s">
        <v>177</v>
      </c>
      <c r="D22" s="10">
        <f t="shared" si="1"/>
        <v>13</v>
      </c>
      <c r="E22" s="11" t="s">
        <v>141</v>
      </c>
      <c r="H22" s="9" t="s">
        <v>113</v>
      </c>
      <c r="K22" s="11" t="s">
        <v>208</v>
      </c>
    </row>
    <row r="23" spans="1:11" s="9" customFormat="1" x14ac:dyDescent="0.35">
      <c r="A23" s="10">
        <f t="shared" si="0"/>
        <v>14</v>
      </c>
      <c r="B23" s="11" t="s">
        <v>158</v>
      </c>
      <c r="D23" s="10">
        <f t="shared" si="1"/>
        <v>14</v>
      </c>
      <c r="E23" s="11" t="s">
        <v>151</v>
      </c>
      <c r="H23" s="9" t="s">
        <v>116</v>
      </c>
      <c r="K23" s="11" t="s">
        <v>240</v>
      </c>
    </row>
    <row r="24" spans="1:11" s="9" customFormat="1" x14ac:dyDescent="0.35">
      <c r="A24" s="10">
        <f t="shared" si="0"/>
        <v>15</v>
      </c>
      <c r="B24" s="11" t="s">
        <v>157</v>
      </c>
      <c r="D24" s="10">
        <f t="shared" si="1"/>
        <v>15</v>
      </c>
      <c r="E24" s="11" t="s">
        <v>75</v>
      </c>
      <c r="H24" s="9" t="s">
        <v>119</v>
      </c>
      <c r="K24" s="11" t="s">
        <v>241</v>
      </c>
    </row>
    <row r="25" spans="1:11" s="9" customFormat="1" x14ac:dyDescent="0.35">
      <c r="A25" s="10">
        <f t="shared" si="0"/>
        <v>16</v>
      </c>
      <c r="B25" s="11" t="s">
        <v>240</v>
      </c>
      <c r="D25" s="10">
        <f t="shared" si="1"/>
        <v>16</v>
      </c>
      <c r="E25" s="11" t="s">
        <v>44</v>
      </c>
    </row>
    <row r="26" spans="1:11" s="9" customFormat="1" x14ac:dyDescent="0.35">
      <c r="A26" s="10">
        <f t="shared" si="0"/>
        <v>17</v>
      </c>
      <c r="B26" s="11" t="s">
        <v>148</v>
      </c>
      <c r="H26" s="9" t="s">
        <v>122</v>
      </c>
      <c r="K26" s="13">
        <v>277</v>
      </c>
    </row>
    <row r="27" spans="1:11" s="9" customFormat="1" x14ac:dyDescent="0.35">
      <c r="A27" s="10">
        <f t="shared" si="0"/>
        <v>18</v>
      </c>
      <c r="B27" s="11" t="s">
        <v>156</v>
      </c>
      <c r="H27" s="9" t="s">
        <v>124</v>
      </c>
    </row>
    <row r="28" spans="1:11" x14ac:dyDescent="0.35">
      <c r="A28" s="10">
        <f t="shared" si="0"/>
        <v>19</v>
      </c>
      <c r="B28" s="11" t="s">
        <v>141</v>
      </c>
    </row>
    <row r="29" spans="1:11" x14ac:dyDescent="0.35">
      <c r="A29" s="10">
        <f t="shared" si="0"/>
        <v>20</v>
      </c>
      <c r="B29" s="11" t="s">
        <v>175</v>
      </c>
    </row>
    <row r="30" spans="1:11" x14ac:dyDescent="0.35">
      <c r="A30" s="10">
        <f t="shared" si="0"/>
        <v>21</v>
      </c>
      <c r="B30" s="11" t="s">
        <v>75</v>
      </c>
    </row>
    <row r="31" spans="1:11" x14ac:dyDescent="0.35">
      <c r="A31" s="10">
        <f t="shared" si="0"/>
        <v>22</v>
      </c>
      <c r="B31" s="11" t="s">
        <v>77</v>
      </c>
    </row>
    <row r="32" spans="1:11" x14ac:dyDescent="0.35">
      <c r="A32" s="10">
        <f t="shared" si="0"/>
        <v>23</v>
      </c>
      <c r="B32" s="11" t="s">
        <v>151</v>
      </c>
    </row>
    <row r="33" spans="1:2" x14ac:dyDescent="0.35">
      <c r="A33" s="10">
        <f t="shared" si="0"/>
        <v>24</v>
      </c>
      <c r="B33" s="11" t="s">
        <v>174</v>
      </c>
    </row>
    <row r="34" spans="1:2" x14ac:dyDescent="0.35">
      <c r="A34" s="10">
        <f t="shared" si="0"/>
        <v>25</v>
      </c>
      <c r="B34" s="11" t="s">
        <v>173</v>
      </c>
    </row>
    <row r="35" spans="1:2" x14ac:dyDescent="0.35">
      <c r="A35" s="10">
        <f t="shared" si="0"/>
        <v>26</v>
      </c>
      <c r="B35" s="11" t="s">
        <v>186</v>
      </c>
    </row>
    <row r="36" spans="1:2" x14ac:dyDescent="0.35">
      <c r="A36" s="10">
        <f t="shared" si="0"/>
        <v>27</v>
      </c>
      <c r="B36" s="11" t="s">
        <v>31</v>
      </c>
    </row>
    <row r="37" spans="1:2" x14ac:dyDescent="0.35">
      <c r="A37" s="10">
        <f t="shared" si="0"/>
        <v>28</v>
      </c>
      <c r="B37" s="11" t="s">
        <v>239</v>
      </c>
    </row>
    <row r="38" spans="1:2" x14ac:dyDescent="0.35">
      <c r="A38" s="10">
        <f t="shared" si="0"/>
        <v>29</v>
      </c>
      <c r="B38" s="11" t="s">
        <v>51</v>
      </c>
    </row>
    <row r="39" spans="1:2" x14ac:dyDescent="0.35">
      <c r="A39" s="10">
        <f t="shared" si="0"/>
        <v>30</v>
      </c>
      <c r="B39" s="11" t="s">
        <v>196</v>
      </c>
    </row>
    <row r="40" spans="1:2" x14ac:dyDescent="0.35">
      <c r="A40" s="10">
        <f t="shared" si="0"/>
        <v>31</v>
      </c>
      <c r="B40" s="11" t="s">
        <v>45</v>
      </c>
    </row>
    <row r="41" spans="1:2" x14ac:dyDescent="0.35">
      <c r="A41" s="10">
        <f t="shared" si="0"/>
        <v>32</v>
      </c>
      <c r="B41" s="11" t="s">
        <v>78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14C5-39C7-49EC-AD7B-C9619203DD11}">
  <sheetPr>
    <tabColor theme="8" tint="0.39997558519241921"/>
  </sheetPr>
  <dimension ref="A6:J82"/>
  <sheetViews>
    <sheetView topLeftCell="A70" workbookViewId="0">
      <selection activeCell="J79" sqref="J79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0</v>
      </c>
      <c r="F10" s="4">
        <v>1</v>
      </c>
      <c r="G10" s="3" t="s">
        <v>13</v>
      </c>
      <c r="H10" s="2" t="str">
        <f t="shared" si="0"/>
        <v>A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1</v>
      </c>
      <c r="G11" s="3" t="s">
        <v>11</v>
      </c>
      <c r="H11" s="2" t="str">
        <f t="shared" si="0"/>
        <v>D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3</v>
      </c>
      <c r="F12" s="4">
        <v>0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1</v>
      </c>
      <c r="G13" s="3" t="s">
        <v>10</v>
      </c>
      <c r="H13" s="2" t="str">
        <f t="shared" si="0"/>
        <v>D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1</v>
      </c>
      <c r="G14" s="3" t="s">
        <v>12</v>
      </c>
      <c r="H14" s="2" t="str">
        <f t="shared" si="0"/>
        <v>D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1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1</v>
      </c>
      <c r="F16" s="4">
        <v>3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1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2</v>
      </c>
      <c r="F19" s="4">
        <v>0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1</v>
      </c>
      <c r="F20" s="4">
        <v>1</v>
      </c>
      <c r="G20" s="3" t="s">
        <v>21</v>
      </c>
      <c r="H20" s="2" t="str">
        <f t="shared" si="0"/>
        <v>D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3</v>
      </c>
      <c r="F21" s="4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0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2</v>
      </c>
      <c r="G27" s="3" t="s">
        <v>31</v>
      </c>
      <c r="H27" s="2" t="str">
        <f t="shared" si="0"/>
        <v>D</v>
      </c>
      <c r="J27">
        <v>0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0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2</v>
      </c>
      <c r="F32" s="4">
        <v>0</v>
      </c>
      <c r="G32" s="3" t="s">
        <v>32</v>
      </c>
      <c r="H32" s="2" t="str">
        <f t="shared" si="0"/>
        <v>H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1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0</v>
      </c>
      <c r="F34" s="4">
        <v>1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2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1</v>
      </c>
      <c r="F38" s="4">
        <v>1</v>
      </c>
      <c r="G38" s="3" t="s">
        <v>39</v>
      </c>
      <c r="H38" s="2" t="str">
        <f t="shared" si="0"/>
        <v>D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2</v>
      </c>
      <c r="G39" s="3" t="s">
        <v>44</v>
      </c>
      <c r="H39" s="2" t="str">
        <f t="shared" si="0"/>
        <v>D</v>
      </c>
      <c r="J39">
        <v>3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3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2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1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3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3</v>
      </c>
      <c r="F45" s="4">
        <v>1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0</v>
      </c>
      <c r="F46" s="4">
        <v>1</v>
      </c>
      <c r="G46" s="3" t="s">
        <v>52</v>
      </c>
      <c r="H46" s="2" t="str">
        <f t="shared" si="1"/>
        <v>A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3</v>
      </c>
      <c r="F49" s="4">
        <v>1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1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4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3</v>
      </c>
      <c r="F53" s="4">
        <v>1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1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4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1</v>
      </c>
      <c r="F58" s="4">
        <v>3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2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3</v>
      </c>
      <c r="F60" s="4">
        <v>1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3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0</v>
      </c>
      <c r="F62" s="4">
        <v>0</v>
      </c>
      <c r="G62" s="3" t="s">
        <v>64</v>
      </c>
      <c r="H62" s="2" t="str">
        <f t="shared" si="1"/>
        <v>D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3</v>
      </c>
      <c r="F63" s="4">
        <v>1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1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1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3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1</v>
      </c>
      <c r="F68" s="4">
        <v>4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3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0</v>
      </c>
      <c r="F70" s="4">
        <v>2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3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1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0</v>
      </c>
      <c r="F74" s="4">
        <v>1</v>
      </c>
      <c r="G74" s="3" t="s">
        <v>77</v>
      </c>
      <c r="H74" s="2" t="str">
        <f t="shared" si="2"/>
        <v>A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3</v>
      </c>
      <c r="F76" s="4">
        <v>1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3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1</v>
      </c>
      <c r="F78" s="4">
        <v>3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0</v>
      </c>
      <c r="G80" s="3" t="s">
        <v>83</v>
      </c>
      <c r="H80" s="2" t="str">
        <f t="shared" si="2"/>
        <v>H</v>
      </c>
      <c r="J80" s="54"/>
    </row>
    <row r="82" spans="10:10" x14ac:dyDescent="0.35">
      <c r="J82">
        <f>SUM(J8:J80)</f>
        <v>16</v>
      </c>
    </row>
  </sheetData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7A98-9AB1-424D-8D92-D60E32B0C1D0}">
  <sheetPr>
    <tabColor theme="8" tint="0.39997558519241921"/>
  </sheetPr>
  <dimension ref="A5:Q42"/>
  <sheetViews>
    <sheetView topLeftCell="A15" workbookViewId="0">
      <selection activeCell="K31" sqref="K31"/>
    </sheetView>
  </sheetViews>
  <sheetFormatPr defaultRowHeight="14.5" x14ac:dyDescent="0.35"/>
  <cols>
    <col min="1" max="1" width="3.26953125" customWidth="1"/>
    <col min="2" max="2" width="20.6328125" customWidth="1"/>
    <col min="3" max="3" width="1.7265625" customWidth="1"/>
    <col min="4" max="4" width="3.26953125" customWidth="1"/>
    <col min="5" max="5" width="20.6328125" customWidth="1"/>
    <col min="6" max="6" width="1.7265625" customWidth="1"/>
    <col min="7" max="7" width="3.26953125" customWidth="1"/>
    <col min="8" max="8" width="20.6328125" customWidth="1"/>
    <col min="9" max="9" width="1.7265625" customWidth="1"/>
    <col min="10" max="10" width="3.26953125" customWidth="1"/>
    <col min="11" max="11" width="20.6328125" customWidth="1"/>
    <col min="12" max="12" width="1.7265625" customWidth="1"/>
    <col min="13" max="13" width="3.26953125" customWidth="1"/>
    <col min="14" max="14" width="20.6328125" customWidth="1"/>
    <col min="15" max="15" width="1.7265625" customWidth="1"/>
    <col min="16" max="16" width="3.2695312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167</v>
      </c>
      <c r="G10" s="10">
        <v>1</v>
      </c>
      <c r="H10" s="11" t="s">
        <v>167</v>
      </c>
      <c r="J10" s="10">
        <v>1</v>
      </c>
      <c r="K10" s="11" t="s">
        <v>146</v>
      </c>
      <c r="M10" s="10">
        <v>1</v>
      </c>
      <c r="N10" s="11" t="s">
        <v>146</v>
      </c>
      <c r="P10" s="10">
        <v>1</v>
      </c>
      <c r="Q10" s="11" t="s">
        <v>146</v>
      </c>
    </row>
    <row r="11" spans="1:17" s="9" customFormat="1" x14ac:dyDescent="0.35">
      <c r="A11" s="10">
        <f t="shared" ref="A11:A41" si="0">A10+1</f>
        <v>2</v>
      </c>
      <c r="B11" s="11" t="s">
        <v>171</v>
      </c>
      <c r="D11" s="10">
        <f t="shared" ref="D11:D25" si="1">D10+1</f>
        <v>2</v>
      </c>
      <c r="E11" s="11" t="s">
        <v>157</v>
      </c>
      <c r="G11" s="10">
        <f t="shared" ref="G11:G17" si="2">G10+1</f>
        <v>2</v>
      </c>
      <c r="H11" s="11" t="s">
        <v>157</v>
      </c>
      <c r="J11" s="10">
        <f>J10+1</f>
        <v>2</v>
      </c>
      <c r="K11" s="11" t="s">
        <v>157</v>
      </c>
      <c r="M11" s="10">
        <f>M10+1</f>
        <v>2</v>
      </c>
      <c r="N11" s="11" t="s">
        <v>148</v>
      </c>
    </row>
    <row r="12" spans="1:17" s="9" customFormat="1" x14ac:dyDescent="0.35">
      <c r="A12" s="10">
        <f t="shared" si="0"/>
        <v>3</v>
      </c>
      <c r="B12" s="11" t="s">
        <v>18</v>
      </c>
      <c r="D12" s="10">
        <f t="shared" si="1"/>
        <v>3</v>
      </c>
      <c r="E12" s="11" t="s">
        <v>148</v>
      </c>
      <c r="G12" s="10">
        <f t="shared" si="2"/>
        <v>3</v>
      </c>
      <c r="H12" s="11" t="s">
        <v>148</v>
      </c>
      <c r="J12" s="10">
        <f>J11+1</f>
        <v>3</v>
      </c>
      <c r="K12" s="11" t="s">
        <v>148</v>
      </c>
    </row>
    <row r="13" spans="1:17" s="9" customFormat="1" x14ac:dyDescent="0.35">
      <c r="A13" s="10">
        <f t="shared" si="0"/>
        <v>4</v>
      </c>
      <c r="B13" s="11" t="s">
        <v>169</v>
      </c>
      <c r="D13" s="10">
        <f t="shared" si="1"/>
        <v>4</v>
      </c>
      <c r="E13" s="11" t="s">
        <v>155</v>
      </c>
      <c r="G13" s="10">
        <f t="shared" si="2"/>
        <v>4</v>
      </c>
      <c r="H13" s="11" t="s">
        <v>155</v>
      </c>
      <c r="J13" s="10">
        <f>J12+1</f>
        <v>4</v>
      </c>
      <c r="K13" s="11" t="s">
        <v>151</v>
      </c>
    </row>
    <row r="14" spans="1:17" s="9" customFormat="1" x14ac:dyDescent="0.35">
      <c r="A14" s="10">
        <f t="shared" si="0"/>
        <v>5</v>
      </c>
      <c r="B14" s="11" t="s">
        <v>167</v>
      </c>
      <c r="D14" s="10">
        <f t="shared" si="1"/>
        <v>5</v>
      </c>
      <c r="E14" s="11" t="s">
        <v>151</v>
      </c>
      <c r="G14" s="10">
        <f t="shared" si="2"/>
        <v>5</v>
      </c>
      <c r="H14" s="11" t="s">
        <v>146</v>
      </c>
    </row>
    <row r="15" spans="1:17" s="9" customFormat="1" x14ac:dyDescent="0.35">
      <c r="A15" s="10">
        <f t="shared" si="0"/>
        <v>6</v>
      </c>
      <c r="B15" s="11" t="s">
        <v>162</v>
      </c>
      <c r="D15" s="10">
        <f t="shared" si="1"/>
        <v>6</v>
      </c>
      <c r="E15" s="11" t="s">
        <v>75</v>
      </c>
      <c r="G15" s="10">
        <f t="shared" si="2"/>
        <v>6</v>
      </c>
      <c r="H15" s="11" t="s">
        <v>151</v>
      </c>
    </row>
    <row r="16" spans="1:17" s="9" customFormat="1" x14ac:dyDescent="0.35">
      <c r="A16" s="10">
        <f t="shared" si="0"/>
        <v>7</v>
      </c>
      <c r="B16" s="11" t="s">
        <v>33</v>
      </c>
      <c r="D16" s="10">
        <f t="shared" si="1"/>
        <v>7</v>
      </c>
      <c r="E16" s="11" t="s">
        <v>165</v>
      </c>
      <c r="G16" s="10">
        <f t="shared" si="2"/>
        <v>7</v>
      </c>
      <c r="H16" s="11" t="s">
        <v>75</v>
      </c>
    </row>
    <row r="17" spans="1:11" s="9" customFormat="1" x14ac:dyDescent="0.35">
      <c r="A17" s="10">
        <f t="shared" si="0"/>
        <v>8</v>
      </c>
      <c r="B17" s="11" t="s">
        <v>31</v>
      </c>
      <c r="D17" s="10">
        <f t="shared" si="1"/>
        <v>8</v>
      </c>
      <c r="E17" s="11" t="s">
        <v>146</v>
      </c>
      <c r="G17" s="10">
        <f t="shared" si="2"/>
        <v>8</v>
      </c>
      <c r="H17" s="11" t="s">
        <v>165</v>
      </c>
    </row>
    <row r="18" spans="1:11" s="9" customFormat="1" x14ac:dyDescent="0.35">
      <c r="A18" s="10">
        <f t="shared" si="0"/>
        <v>9</v>
      </c>
      <c r="B18" s="11" t="s">
        <v>40</v>
      </c>
      <c r="D18" s="10">
        <f t="shared" si="1"/>
        <v>9</v>
      </c>
      <c r="E18" s="11" t="s">
        <v>160</v>
      </c>
    </row>
    <row r="19" spans="1:11" s="9" customFormat="1" x14ac:dyDescent="0.35">
      <c r="A19" s="10">
        <f t="shared" si="0"/>
        <v>10</v>
      </c>
      <c r="B19" s="11" t="s">
        <v>165</v>
      </c>
      <c r="D19" s="10">
        <f t="shared" si="1"/>
        <v>10</v>
      </c>
      <c r="E19" s="11" t="s">
        <v>59</v>
      </c>
    </row>
    <row r="20" spans="1:11" s="9" customFormat="1" x14ac:dyDescent="0.35">
      <c r="A20" s="10">
        <f t="shared" si="0"/>
        <v>11</v>
      </c>
      <c r="B20" s="11" t="s">
        <v>146</v>
      </c>
      <c r="D20" s="10">
        <f t="shared" si="1"/>
        <v>11</v>
      </c>
      <c r="E20" s="11" t="s">
        <v>150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44</v>
      </c>
      <c r="D21" s="10">
        <f t="shared" si="1"/>
        <v>12</v>
      </c>
      <c r="E21" s="11" t="s">
        <v>78</v>
      </c>
    </row>
    <row r="22" spans="1:11" s="9" customFormat="1" x14ac:dyDescent="0.35">
      <c r="A22" s="10">
        <f t="shared" si="0"/>
        <v>13</v>
      </c>
      <c r="B22" s="11" t="s">
        <v>160</v>
      </c>
      <c r="D22" s="10">
        <f t="shared" si="1"/>
        <v>13</v>
      </c>
      <c r="E22" s="11" t="s">
        <v>162</v>
      </c>
      <c r="H22" s="9" t="s">
        <v>113</v>
      </c>
      <c r="K22" s="11" t="s">
        <v>248</v>
      </c>
    </row>
    <row r="23" spans="1:11" s="9" customFormat="1" x14ac:dyDescent="0.35">
      <c r="A23" s="10">
        <f t="shared" si="0"/>
        <v>14</v>
      </c>
      <c r="B23" s="11" t="s">
        <v>247</v>
      </c>
      <c r="D23" s="10">
        <f t="shared" si="1"/>
        <v>14</v>
      </c>
      <c r="E23" s="11" t="s">
        <v>44</v>
      </c>
      <c r="H23" s="9" t="s">
        <v>116</v>
      </c>
      <c r="K23" s="11" t="s">
        <v>31</v>
      </c>
    </row>
    <row r="24" spans="1:11" s="9" customFormat="1" x14ac:dyDescent="0.35">
      <c r="A24" s="10">
        <f t="shared" si="0"/>
        <v>15</v>
      </c>
      <c r="B24" s="11" t="s">
        <v>157</v>
      </c>
      <c r="D24" s="10">
        <f t="shared" si="1"/>
        <v>15</v>
      </c>
      <c r="E24" s="11" t="s">
        <v>33</v>
      </c>
      <c r="H24" s="9" t="s">
        <v>119</v>
      </c>
      <c r="K24" s="11" t="s">
        <v>246</v>
      </c>
    </row>
    <row r="25" spans="1:11" s="9" customFormat="1" x14ac:dyDescent="0.35">
      <c r="A25" s="10">
        <f t="shared" si="0"/>
        <v>16</v>
      </c>
      <c r="B25" s="11" t="s">
        <v>59</v>
      </c>
      <c r="D25" s="10">
        <f t="shared" si="1"/>
        <v>16</v>
      </c>
      <c r="E25" s="11" t="s">
        <v>10</v>
      </c>
    </row>
    <row r="26" spans="1:11" s="9" customFormat="1" x14ac:dyDescent="0.35">
      <c r="A26" s="10">
        <f t="shared" si="0"/>
        <v>17</v>
      </c>
      <c r="B26" s="11" t="s">
        <v>148</v>
      </c>
      <c r="H26" s="9" t="s">
        <v>122</v>
      </c>
      <c r="K26" s="13">
        <v>281</v>
      </c>
    </row>
    <row r="27" spans="1:11" s="9" customFormat="1" x14ac:dyDescent="0.35">
      <c r="A27" s="10">
        <f t="shared" si="0"/>
        <v>18</v>
      </c>
      <c r="B27" s="11" t="s">
        <v>156</v>
      </c>
      <c r="H27" s="9" t="s">
        <v>124</v>
      </c>
    </row>
    <row r="28" spans="1:11" x14ac:dyDescent="0.35">
      <c r="A28" s="10">
        <f t="shared" si="0"/>
        <v>19</v>
      </c>
      <c r="B28" s="11" t="s">
        <v>155</v>
      </c>
    </row>
    <row r="29" spans="1:11" x14ac:dyDescent="0.35">
      <c r="A29" s="10">
        <f t="shared" si="0"/>
        <v>20</v>
      </c>
      <c r="B29" s="11" t="s">
        <v>175</v>
      </c>
    </row>
    <row r="30" spans="1:11" x14ac:dyDescent="0.35">
      <c r="A30" s="10">
        <f t="shared" si="0"/>
        <v>21</v>
      </c>
      <c r="B30" s="11" t="s">
        <v>75</v>
      </c>
    </row>
    <row r="31" spans="1:11" x14ac:dyDescent="0.35">
      <c r="A31" s="10">
        <f t="shared" si="0"/>
        <v>22</v>
      </c>
      <c r="B31" s="11" t="s">
        <v>78</v>
      </c>
    </row>
    <row r="32" spans="1:11" x14ac:dyDescent="0.35">
      <c r="A32" s="10">
        <f t="shared" si="0"/>
        <v>23</v>
      </c>
      <c r="B32" s="11" t="s">
        <v>151</v>
      </c>
    </row>
    <row r="33" spans="1:2" x14ac:dyDescent="0.35">
      <c r="A33" s="10">
        <f t="shared" si="0"/>
        <v>24</v>
      </c>
      <c r="B33" s="11" t="s">
        <v>150</v>
      </c>
    </row>
    <row r="34" spans="1:2" x14ac:dyDescent="0.35">
      <c r="A34" s="10">
        <f t="shared" si="0"/>
        <v>25</v>
      </c>
      <c r="B34" s="11" t="s">
        <v>83</v>
      </c>
    </row>
    <row r="35" spans="1:2" x14ac:dyDescent="0.35">
      <c r="A35" s="10">
        <f t="shared" si="0"/>
        <v>26</v>
      </c>
      <c r="B35" s="11" t="s">
        <v>154</v>
      </c>
    </row>
    <row r="36" spans="1:2" x14ac:dyDescent="0.35">
      <c r="A36" s="10">
        <f t="shared" si="0"/>
        <v>27</v>
      </c>
      <c r="B36" s="11" t="s">
        <v>63</v>
      </c>
    </row>
    <row r="37" spans="1:2" x14ac:dyDescent="0.35">
      <c r="A37" s="10">
        <f t="shared" si="0"/>
        <v>28</v>
      </c>
      <c r="B37" s="11" t="s">
        <v>51</v>
      </c>
    </row>
    <row r="38" spans="1:2" x14ac:dyDescent="0.35">
      <c r="A38" s="10">
        <f t="shared" si="0"/>
        <v>29</v>
      </c>
      <c r="B38" s="11" t="s">
        <v>45</v>
      </c>
    </row>
    <row r="39" spans="1:2" x14ac:dyDescent="0.35">
      <c r="A39" s="10">
        <f t="shared" si="0"/>
        <v>30</v>
      </c>
      <c r="B39" s="11" t="s">
        <v>196</v>
      </c>
    </row>
    <row r="40" spans="1:2" x14ac:dyDescent="0.35">
      <c r="A40" s="10">
        <f t="shared" si="0"/>
        <v>31</v>
      </c>
      <c r="B40" s="11" t="s">
        <v>245</v>
      </c>
    </row>
    <row r="41" spans="1:2" x14ac:dyDescent="0.35">
      <c r="A41" s="10">
        <f t="shared" si="0"/>
        <v>32</v>
      </c>
      <c r="B41" s="11" t="s">
        <v>173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E1CC-ABFF-4A36-80CF-1EAAD0DBE934}">
  <sheetPr>
    <tabColor theme="8" tint="0.39997558519241921"/>
  </sheetPr>
  <dimension ref="A6:J82"/>
  <sheetViews>
    <sheetView topLeftCell="A65" workbookViewId="0">
      <selection activeCell="J83" sqref="J83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1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0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0</v>
      </c>
      <c r="F13" s="4">
        <v>0</v>
      </c>
      <c r="G13" s="3" t="s">
        <v>10</v>
      </c>
      <c r="H13" s="2" t="str">
        <f t="shared" si="0"/>
        <v>D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2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0</v>
      </c>
      <c r="F15" s="4">
        <v>1</v>
      </c>
      <c r="G15" s="3" t="s">
        <v>19</v>
      </c>
      <c r="H15" s="2" t="str">
        <f t="shared" si="0"/>
        <v>A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1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2</v>
      </c>
      <c r="F19" s="4">
        <v>1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3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1</v>
      </c>
      <c r="F22" s="4">
        <v>3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3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3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0</v>
      </c>
      <c r="F25" s="4">
        <v>1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4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1</v>
      </c>
      <c r="F27" s="4">
        <v>3</v>
      </c>
      <c r="G27" s="3" t="s">
        <v>31</v>
      </c>
      <c r="H27" s="2" t="str">
        <f t="shared" si="0"/>
        <v>A</v>
      </c>
      <c r="J27">
        <v>0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2</v>
      </c>
      <c r="G29" s="3" t="s">
        <v>32</v>
      </c>
      <c r="H29" s="2" t="str">
        <f t="shared" si="0"/>
        <v>D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1</v>
      </c>
      <c r="F30" s="4">
        <v>1</v>
      </c>
      <c r="G30" s="3" t="s">
        <v>31</v>
      </c>
      <c r="H30" s="2" t="str">
        <f t="shared" si="0"/>
        <v>D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2</v>
      </c>
      <c r="F31" s="4">
        <v>0</v>
      </c>
      <c r="G31" s="3" t="s">
        <v>30</v>
      </c>
      <c r="H31" s="2" t="str">
        <f t="shared" si="0"/>
        <v>H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1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2</v>
      </c>
      <c r="F34" s="4">
        <v>0</v>
      </c>
      <c r="G34" s="3" t="s">
        <v>40</v>
      </c>
      <c r="H34" s="2" t="str">
        <f t="shared" si="0"/>
        <v>H</v>
      </c>
      <c r="J34">
        <v>1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1</v>
      </c>
      <c r="F35" s="4">
        <v>2</v>
      </c>
      <c r="G35" s="3" t="s">
        <v>39</v>
      </c>
      <c r="H35" s="2" t="str">
        <f t="shared" si="0"/>
        <v>A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1</v>
      </c>
      <c r="F36" s="4">
        <v>1</v>
      </c>
      <c r="G36" s="3" t="s">
        <v>38</v>
      </c>
      <c r="H36" s="2" t="str">
        <f t="shared" si="0"/>
        <v>D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4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0</v>
      </c>
      <c r="F38" s="4">
        <v>2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2</v>
      </c>
      <c r="F40" s="4">
        <v>1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1</v>
      </c>
      <c r="F42" s="4">
        <v>2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2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1</v>
      </c>
      <c r="F44" s="4">
        <v>3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1</v>
      </c>
      <c r="F47" s="4">
        <v>1</v>
      </c>
      <c r="G47" s="3" t="s">
        <v>51</v>
      </c>
      <c r="H47" s="2" t="str">
        <f t="shared" si="1"/>
        <v>D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1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3</v>
      </c>
      <c r="F53" s="4">
        <v>1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5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3</v>
      </c>
      <c r="G55" s="3" t="s">
        <v>58</v>
      </c>
      <c r="H55" s="2" t="str">
        <f t="shared" si="1"/>
        <v>A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4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2</v>
      </c>
      <c r="G60" s="3" t="s">
        <v>63</v>
      </c>
      <c r="H60" s="2" t="str">
        <f t="shared" si="1"/>
        <v>D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2</v>
      </c>
      <c r="F61" s="4">
        <v>1</v>
      </c>
      <c r="G61" s="3" t="s">
        <v>62</v>
      </c>
      <c r="H61" s="2" t="str">
        <f t="shared" si="1"/>
        <v>H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1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3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1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1</v>
      </c>
      <c r="G67" s="3" t="s">
        <v>70</v>
      </c>
      <c r="H67" s="2" t="str">
        <f t="shared" si="1"/>
        <v>D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1</v>
      </c>
      <c r="F68" s="4">
        <v>4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2</v>
      </c>
      <c r="F69" s="4">
        <v>1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0</v>
      </c>
      <c r="F70" s="4">
        <v>1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1</v>
      </c>
      <c r="F72" s="4">
        <v>1</v>
      </c>
      <c r="G72" s="3" t="s">
        <v>76</v>
      </c>
      <c r="H72" s="2" t="str">
        <f t="shared" si="1"/>
        <v>D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2</v>
      </c>
      <c r="F73" s="4">
        <v>3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2</v>
      </c>
      <c r="F74" s="4">
        <v>0</v>
      </c>
      <c r="G74" s="3" t="s">
        <v>77</v>
      </c>
      <c r="H74" s="2" t="str">
        <f t="shared" si="2"/>
        <v>H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1</v>
      </c>
      <c r="F75" s="4">
        <v>0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0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1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1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4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1</v>
      </c>
      <c r="G80" s="3" t="s">
        <v>83</v>
      </c>
      <c r="H80" s="2" t="str">
        <f t="shared" si="2"/>
        <v>H</v>
      </c>
      <c r="J80" s="54"/>
    </row>
    <row r="82" spans="10:10" x14ac:dyDescent="0.35">
      <c r="J82">
        <f>SUM(J8:J80)</f>
        <v>12</v>
      </c>
    </row>
  </sheetData>
  <pageMargins left="0.75" right="0.75" top="1" bottom="1" header="0.5" footer="0.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A0A6-5066-4E79-8806-7B5E141B39BD}">
  <sheetPr>
    <tabColor theme="8" tint="0.39997558519241921"/>
  </sheetPr>
  <dimension ref="A5:Q42"/>
  <sheetViews>
    <sheetView workbookViewId="0">
      <selection activeCell="R4" sqref="R4"/>
    </sheetView>
  </sheetViews>
  <sheetFormatPr defaultColWidth="8.81640625" defaultRowHeight="14.5" x14ac:dyDescent="0.35"/>
  <cols>
    <col min="1" max="1" width="3.1796875" customWidth="1"/>
    <col min="2" max="2" width="20.6328125" customWidth="1"/>
    <col min="3" max="3" width="1.81640625" customWidth="1"/>
    <col min="4" max="4" width="3.1796875" customWidth="1"/>
    <col min="5" max="5" width="20.6328125" customWidth="1"/>
    <col min="6" max="6" width="1.81640625" customWidth="1"/>
    <col min="7" max="7" width="3.1796875" customWidth="1"/>
    <col min="8" max="8" width="20.6328125" customWidth="1"/>
    <col min="9" max="9" width="1.81640625" customWidth="1"/>
    <col min="10" max="10" width="3.1796875" customWidth="1"/>
    <col min="11" max="11" width="20.6328125" customWidth="1"/>
    <col min="12" max="12" width="1.81640625" customWidth="1"/>
    <col min="13" max="13" width="3.1796875" customWidth="1"/>
    <col min="14" max="14" width="20.6328125" customWidth="1"/>
    <col min="15" max="15" width="1.81640625" customWidth="1"/>
    <col min="16" max="16" width="3.179687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81</v>
      </c>
      <c r="G10" s="10">
        <v>1</v>
      </c>
      <c r="H10" s="11" t="s">
        <v>81</v>
      </c>
      <c r="J10" s="10">
        <v>1</v>
      </c>
      <c r="K10" s="11" t="s">
        <v>81</v>
      </c>
      <c r="M10" s="10">
        <v>1</v>
      </c>
      <c r="N10" s="11" t="s">
        <v>81</v>
      </c>
      <c r="P10" s="10">
        <v>1</v>
      </c>
      <c r="Q10" s="11" t="s">
        <v>56</v>
      </c>
    </row>
    <row r="11" spans="1:17" s="9" customFormat="1" x14ac:dyDescent="0.35">
      <c r="A11" s="10">
        <f t="shared" ref="A11:A41" si="0">A10+1</f>
        <v>2</v>
      </c>
      <c r="B11" s="11" t="s">
        <v>13</v>
      </c>
      <c r="D11" s="10">
        <f t="shared" ref="D11:D25" si="1">D10+1</f>
        <v>2</v>
      </c>
      <c r="E11" s="11" t="s">
        <v>10</v>
      </c>
      <c r="G11" s="10">
        <f t="shared" ref="G11:G17" si="2">G10+1</f>
        <v>2</v>
      </c>
      <c r="H11" s="11" t="s">
        <v>24</v>
      </c>
      <c r="J11" s="10">
        <f>J10+1</f>
        <v>2</v>
      </c>
      <c r="K11" s="11" t="s">
        <v>43</v>
      </c>
      <c r="M11" s="10">
        <f>M10+1</f>
        <v>2</v>
      </c>
      <c r="N11" s="11" t="s">
        <v>56</v>
      </c>
    </row>
    <row r="12" spans="1:17" s="9" customFormat="1" x14ac:dyDescent="0.35">
      <c r="A12" s="10">
        <f t="shared" si="0"/>
        <v>3</v>
      </c>
      <c r="B12" s="11" t="s">
        <v>22</v>
      </c>
      <c r="D12" s="10">
        <f t="shared" si="1"/>
        <v>3</v>
      </c>
      <c r="E12" s="11" t="s">
        <v>24</v>
      </c>
      <c r="G12" s="10">
        <f t="shared" si="2"/>
        <v>3</v>
      </c>
      <c r="H12" s="11" t="s">
        <v>43</v>
      </c>
      <c r="J12" s="10">
        <f>J11+1</f>
        <v>3</v>
      </c>
      <c r="K12" s="11" t="s">
        <v>37</v>
      </c>
    </row>
    <row r="13" spans="1:17" s="9" customFormat="1" x14ac:dyDescent="0.35">
      <c r="A13" s="10">
        <f t="shared" si="0"/>
        <v>4</v>
      </c>
      <c r="B13" s="11" t="s">
        <v>19</v>
      </c>
      <c r="D13" s="10">
        <f t="shared" si="1"/>
        <v>4</v>
      </c>
      <c r="E13" s="11" t="s">
        <v>25</v>
      </c>
      <c r="G13" s="10">
        <f t="shared" si="2"/>
        <v>4</v>
      </c>
      <c r="H13" s="11" t="s">
        <v>68</v>
      </c>
      <c r="J13" s="10">
        <f>J12+1</f>
        <v>4</v>
      </c>
      <c r="K13" s="11" t="s">
        <v>56</v>
      </c>
    </row>
    <row r="14" spans="1:17" s="9" customFormat="1" x14ac:dyDescent="0.35">
      <c r="A14" s="10">
        <f t="shared" si="0"/>
        <v>5</v>
      </c>
      <c r="B14" s="11" t="s">
        <v>24</v>
      </c>
      <c r="D14" s="10">
        <f t="shared" si="1"/>
        <v>5</v>
      </c>
      <c r="E14" s="11" t="s">
        <v>33</v>
      </c>
      <c r="G14" s="10">
        <f t="shared" si="2"/>
        <v>5</v>
      </c>
      <c r="H14" s="11" t="s">
        <v>37</v>
      </c>
    </row>
    <row r="15" spans="1:17" s="9" customFormat="1" x14ac:dyDescent="0.35">
      <c r="A15" s="10">
        <f t="shared" si="0"/>
        <v>6</v>
      </c>
      <c r="B15" s="11" t="s">
        <v>25</v>
      </c>
      <c r="D15" s="10">
        <f t="shared" si="1"/>
        <v>6</v>
      </c>
      <c r="E15" s="11" t="s">
        <v>37</v>
      </c>
      <c r="G15" s="10">
        <f t="shared" si="2"/>
        <v>6</v>
      </c>
      <c r="H15" s="11" t="s">
        <v>49</v>
      </c>
    </row>
    <row r="16" spans="1:17" s="9" customFormat="1" x14ac:dyDescent="0.35">
      <c r="A16" s="10">
        <f t="shared" si="0"/>
        <v>7</v>
      </c>
      <c r="B16" s="11" t="s">
        <v>12</v>
      </c>
      <c r="D16" s="10">
        <f t="shared" si="1"/>
        <v>7</v>
      </c>
      <c r="E16" s="11" t="s">
        <v>43</v>
      </c>
      <c r="G16" s="10">
        <f t="shared" si="2"/>
        <v>7</v>
      </c>
      <c r="H16" s="11" t="s">
        <v>56</v>
      </c>
    </row>
    <row r="17" spans="1:11" s="9" customFormat="1" x14ac:dyDescent="0.35">
      <c r="A17" s="10">
        <f t="shared" si="0"/>
        <v>8</v>
      </c>
      <c r="B17" s="11" t="s">
        <v>33</v>
      </c>
      <c r="D17" s="10">
        <f t="shared" si="1"/>
        <v>8</v>
      </c>
      <c r="E17" s="11" t="s">
        <v>44</v>
      </c>
      <c r="G17" s="10">
        <f t="shared" si="2"/>
        <v>8</v>
      </c>
      <c r="H17" s="11" t="s">
        <v>62</v>
      </c>
    </row>
    <row r="18" spans="1:11" s="9" customFormat="1" x14ac:dyDescent="0.35">
      <c r="A18" s="10">
        <f t="shared" si="0"/>
        <v>9</v>
      </c>
      <c r="B18" s="11" t="s">
        <v>31</v>
      </c>
      <c r="D18" s="10">
        <f t="shared" si="1"/>
        <v>9</v>
      </c>
      <c r="E18" s="11" t="s">
        <v>49</v>
      </c>
    </row>
    <row r="19" spans="1:11" s="9" customFormat="1" x14ac:dyDescent="0.35">
      <c r="A19" s="10">
        <f t="shared" si="0"/>
        <v>10</v>
      </c>
      <c r="B19" s="11" t="s">
        <v>37</v>
      </c>
      <c r="D19" s="10">
        <f t="shared" si="1"/>
        <v>10</v>
      </c>
      <c r="E19" s="11" t="s">
        <v>56</v>
      </c>
    </row>
    <row r="20" spans="1:11" s="9" customFormat="1" x14ac:dyDescent="0.35">
      <c r="A20" s="10">
        <f t="shared" si="0"/>
        <v>11</v>
      </c>
      <c r="B20" s="11" t="s">
        <v>39</v>
      </c>
      <c r="D20" s="10">
        <f t="shared" si="1"/>
        <v>11</v>
      </c>
      <c r="E20" s="11" t="s">
        <v>68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43</v>
      </c>
      <c r="D21" s="10">
        <f t="shared" si="1"/>
        <v>12</v>
      </c>
      <c r="E21" s="11" t="s">
        <v>75</v>
      </c>
    </row>
    <row r="22" spans="1:11" s="9" customFormat="1" x14ac:dyDescent="0.35">
      <c r="A22" s="10">
        <f t="shared" si="0"/>
        <v>13</v>
      </c>
      <c r="B22" s="11" t="s">
        <v>44</v>
      </c>
      <c r="D22" s="10">
        <f t="shared" si="1"/>
        <v>13</v>
      </c>
      <c r="E22" s="11" t="s">
        <v>78</v>
      </c>
      <c r="H22" s="9" t="s">
        <v>113</v>
      </c>
      <c r="K22" s="11" t="s">
        <v>249</v>
      </c>
    </row>
    <row r="23" spans="1:11" s="9" customFormat="1" x14ac:dyDescent="0.35">
      <c r="A23" s="10">
        <f t="shared" si="0"/>
        <v>14</v>
      </c>
      <c r="B23" s="11" t="s">
        <v>49</v>
      </c>
      <c r="D23" s="10">
        <f t="shared" si="1"/>
        <v>14</v>
      </c>
      <c r="E23" s="11" t="s">
        <v>12</v>
      </c>
      <c r="H23" s="9" t="s">
        <v>116</v>
      </c>
      <c r="K23" s="11" t="s">
        <v>19</v>
      </c>
    </row>
    <row r="24" spans="1:11" s="9" customFormat="1" x14ac:dyDescent="0.35">
      <c r="A24" s="10">
        <f t="shared" si="0"/>
        <v>15</v>
      </c>
      <c r="B24" s="11" t="s">
        <v>51</v>
      </c>
      <c r="D24" s="10">
        <f t="shared" si="1"/>
        <v>15</v>
      </c>
      <c r="E24" s="11" t="s">
        <v>62</v>
      </c>
      <c r="H24" s="9" t="s">
        <v>119</v>
      </c>
      <c r="K24" s="11" t="s">
        <v>143</v>
      </c>
    </row>
    <row r="25" spans="1:11" s="9" customFormat="1" x14ac:dyDescent="0.35">
      <c r="A25" s="10">
        <f t="shared" si="0"/>
        <v>16</v>
      </c>
      <c r="B25" s="11" t="s">
        <v>56</v>
      </c>
      <c r="D25" s="10">
        <f t="shared" si="1"/>
        <v>16</v>
      </c>
      <c r="E25" s="11" t="s">
        <v>82</v>
      </c>
    </row>
    <row r="26" spans="1:11" s="9" customFormat="1" x14ac:dyDescent="0.35">
      <c r="A26" s="10">
        <f t="shared" si="0"/>
        <v>17</v>
      </c>
      <c r="B26" s="11" t="s">
        <v>59</v>
      </c>
      <c r="H26" s="9" t="s">
        <v>122</v>
      </c>
      <c r="K26" s="13">
        <v>202</v>
      </c>
    </row>
    <row r="27" spans="1:11" s="9" customFormat="1" x14ac:dyDescent="0.35">
      <c r="A27" s="10">
        <f t="shared" si="0"/>
        <v>18</v>
      </c>
      <c r="B27" s="11" t="s">
        <v>62</v>
      </c>
      <c r="H27" s="9" t="s">
        <v>124</v>
      </c>
    </row>
    <row r="28" spans="1:11" x14ac:dyDescent="0.35">
      <c r="A28" s="10">
        <f t="shared" si="0"/>
        <v>19</v>
      </c>
      <c r="B28" s="11" t="s">
        <v>65</v>
      </c>
    </row>
    <row r="29" spans="1:11" x14ac:dyDescent="0.35">
      <c r="A29" s="10">
        <f t="shared" si="0"/>
        <v>20</v>
      </c>
      <c r="B29" s="11" t="s">
        <v>68</v>
      </c>
    </row>
    <row r="30" spans="1:11" x14ac:dyDescent="0.35">
      <c r="A30" s="10">
        <f t="shared" si="0"/>
        <v>21</v>
      </c>
      <c r="B30" s="11" t="s">
        <v>70</v>
      </c>
    </row>
    <row r="31" spans="1:11" x14ac:dyDescent="0.35">
      <c r="A31" s="10">
        <f t="shared" si="0"/>
        <v>22</v>
      </c>
      <c r="B31" s="11" t="s">
        <v>76</v>
      </c>
    </row>
    <row r="32" spans="1:11" x14ac:dyDescent="0.35">
      <c r="A32" s="10">
        <f t="shared" si="0"/>
        <v>23</v>
      </c>
      <c r="B32" s="11" t="s">
        <v>75</v>
      </c>
    </row>
    <row r="33" spans="1:2" x14ac:dyDescent="0.35">
      <c r="A33" s="10">
        <f t="shared" si="0"/>
        <v>24</v>
      </c>
      <c r="B33" s="11" t="s">
        <v>82</v>
      </c>
    </row>
    <row r="34" spans="1:2" x14ac:dyDescent="0.35">
      <c r="A34" s="10">
        <f t="shared" si="0"/>
        <v>25</v>
      </c>
      <c r="B34" s="11" t="s">
        <v>81</v>
      </c>
    </row>
    <row r="35" spans="1:2" x14ac:dyDescent="0.35">
      <c r="A35" s="10">
        <f t="shared" si="0"/>
        <v>26</v>
      </c>
      <c r="B35" s="11" t="s">
        <v>78</v>
      </c>
    </row>
    <row r="36" spans="1:2" x14ac:dyDescent="0.35">
      <c r="A36" s="10">
        <f t="shared" si="0"/>
        <v>27</v>
      </c>
      <c r="B36" s="11" t="s">
        <v>69</v>
      </c>
    </row>
    <row r="37" spans="1:2" x14ac:dyDescent="0.35">
      <c r="A37" s="10">
        <f t="shared" si="0"/>
        <v>28</v>
      </c>
      <c r="B37" s="11" t="s">
        <v>27</v>
      </c>
    </row>
    <row r="38" spans="1:2" x14ac:dyDescent="0.35">
      <c r="A38" s="10">
        <f t="shared" si="0"/>
        <v>29</v>
      </c>
      <c r="B38" s="11" t="s">
        <v>45</v>
      </c>
    </row>
    <row r="39" spans="1:2" x14ac:dyDescent="0.35">
      <c r="A39" s="10">
        <f t="shared" si="0"/>
        <v>30</v>
      </c>
      <c r="B39" s="11" t="s">
        <v>12</v>
      </c>
    </row>
    <row r="40" spans="1:2" x14ac:dyDescent="0.35">
      <c r="A40" s="10">
        <f t="shared" si="0"/>
        <v>31</v>
      </c>
      <c r="B40" s="11" t="s">
        <v>38</v>
      </c>
    </row>
    <row r="41" spans="1:2" x14ac:dyDescent="0.35">
      <c r="A41" s="10">
        <f t="shared" si="0"/>
        <v>32</v>
      </c>
      <c r="B41" s="11" t="s">
        <v>50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21AF-9C3B-418A-A53D-D39171A3A8F4}">
  <sheetPr>
    <tabColor theme="8" tint="0.39997558519241921"/>
  </sheetPr>
  <dimension ref="A6:J82"/>
  <sheetViews>
    <sheetView topLeftCell="A65" workbookViewId="0">
      <selection activeCell="J83" sqref="J83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1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1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0</v>
      </c>
      <c r="F13" s="4">
        <v>1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2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1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0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1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1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0</v>
      </c>
      <c r="F21" s="4">
        <v>1</v>
      </c>
      <c r="G21" s="3" t="s">
        <v>25</v>
      </c>
      <c r="H21" s="2" t="str">
        <f t="shared" si="0"/>
        <v>A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0</v>
      </c>
      <c r="G28" s="3" t="s">
        <v>33</v>
      </c>
      <c r="H28" s="2" t="str">
        <f t="shared" si="0"/>
        <v>H</v>
      </c>
      <c r="J28">
        <v>1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4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0</v>
      </c>
      <c r="G34" s="3" t="s">
        <v>40</v>
      </c>
      <c r="H34" s="2" t="str">
        <f t="shared" si="0"/>
        <v>H</v>
      </c>
      <c r="J34">
        <v>3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1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2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0</v>
      </c>
      <c r="F38" s="4">
        <v>3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0</v>
      </c>
      <c r="F39" s="4">
        <v>1</v>
      </c>
      <c r="G39" s="3" t="s">
        <v>44</v>
      </c>
      <c r="H39" s="2" t="str">
        <f t="shared" si="0"/>
        <v>A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1</v>
      </c>
      <c r="F41" s="4">
        <v>0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1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0</v>
      </c>
      <c r="G43" s="3" t="s">
        <v>45</v>
      </c>
      <c r="H43" s="2" t="str">
        <f t="shared" si="1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2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1</v>
      </c>
      <c r="G46" s="3" t="s">
        <v>52</v>
      </c>
      <c r="H46" s="2" t="str">
        <f t="shared" si="1"/>
        <v>D</v>
      </c>
      <c r="J46">
        <v>1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1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0</v>
      </c>
      <c r="G48" s="3" t="s">
        <v>50</v>
      </c>
      <c r="H48" s="2" t="str">
        <f t="shared" si="1"/>
        <v>H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2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1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1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1</v>
      </c>
      <c r="G56" s="3" t="s">
        <v>56</v>
      </c>
      <c r="H56" s="2" t="str">
        <f t="shared" si="1"/>
        <v>D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3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1</v>
      </c>
      <c r="F60" s="4">
        <v>1</v>
      </c>
      <c r="G60" s="3" t="s">
        <v>63</v>
      </c>
      <c r="H60" s="2" t="str">
        <f t="shared" si="1"/>
        <v>D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2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3</v>
      </c>
      <c r="F63" s="4">
        <v>0</v>
      </c>
      <c r="G63" s="3" t="s">
        <v>69</v>
      </c>
      <c r="H63" s="2" t="str">
        <f t="shared" si="1"/>
        <v>H</v>
      </c>
      <c r="J63">
        <v>3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1</v>
      </c>
      <c r="F66" s="4">
        <v>1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2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3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2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1</v>
      </c>
      <c r="G73" s="3" t="s">
        <v>75</v>
      </c>
      <c r="H73" s="2" t="str">
        <f t="shared" ref="H73:H80" si="2">IF(AND(E73&lt;&gt;"",F73&lt;&gt;""),IF(E73&gt;F73,"H",IF(E73&lt;F73,"A","D")),"")</f>
        <v>D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0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1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1</v>
      </c>
      <c r="G80" s="3" t="s">
        <v>83</v>
      </c>
      <c r="H80" s="2" t="str">
        <f t="shared" si="2"/>
        <v>D</v>
      </c>
      <c r="J80" s="54"/>
    </row>
    <row r="82" spans="10:10" x14ac:dyDescent="0.35">
      <c r="J82">
        <f>SUM(J8:J80)</f>
        <v>21</v>
      </c>
    </row>
  </sheetData>
  <pageMargins left="0.75" right="0.75" top="1" bottom="1" header="0.5" footer="0.5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0ABA-EE23-4A7A-806B-EDD1345F899E}">
  <sheetPr>
    <tabColor theme="8" tint="0.39997558519241921"/>
  </sheetPr>
  <dimension ref="A5:Q42"/>
  <sheetViews>
    <sheetView topLeftCell="A2" workbookViewId="0">
      <selection activeCell="K19" sqref="K19"/>
    </sheetView>
  </sheetViews>
  <sheetFormatPr defaultColWidth="8.7265625" defaultRowHeight="14.5" x14ac:dyDescent="0.35"/>
  <cols>
    <col min="1" max="1" width="3.26953125" customWidth="1"/>
    <col min="2" max="2" width="20.54296875" customWidth="1"/>
    <col min="3" max="3" width="1.7265625" customWidth="1"/>
    <col min="4" max="4" width="3.26953125" customWidth="1"/>
    <col min="5" max="5" width="20.54296875" customWidth="1"/>
    <col min="6" max="6" width="1.7265625" customWidth="1"/>
    <col min="7" max="7" width="3.26953125" customWidth="1"/>
    <col min="8" max="8" width="20.54296875" customWidth="1"/>
    <col min="9" max="9" width="1.7265625" customWidth="1"/>
    <col min="10" max="10" width="3.26953125" customWidth="1"/>
    <col min="11" max="11" width="20.54296875" customWidth="1"/>
    <col min="12" max="12" width="1.7265625" customWidth="1"/>
    <col min="13" max="13" width="3.26953125" customWidth="1"/>
    <col min="14" max="14" width="20.54296875" customWidth="1"/>
    <col min="15" max="15" width="1.7265625" customWidth="1"/>
    <col min="16" max="16" width="3.26953125" customWidth="1"/>
    <col min="17" max="17" width="20.5429687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10</v>
      </c>
      <c r="G10" s="10">
        <v>1</v>
      </c>
      <c r="H10" s="11" t="s">
        <v>10</v>
      </c>
      <c r="J10" s="10">
        <v>1</v>
      </c>
      <c r="K10" s="11" t="s">
        <v>157</v>
      </c>
      <c r="M10" s="10">
        <v>1</v>
      </c>
      <c r="N10" s="11" t="s">
        <v>148</v>
      </c>
      <c r="P10" s="10">
        <v>1</v>
      </c>
      <c r="Q10" s="11" t="s">
        <v>151</v>
      </c>
    </row>
    <row r="11" spans="1:17" s="9" customFormat="1" x14ac:dyDescent="0.35">
      <c r="A11" s="10">
        <f t="shared" ref="A11:A41" si="0">A10+1</f>
        <v>2</v>
      </c>
      <c r="B11" s="11" t="s">
        <v>22</v>
      </c>
      <c r="D11" s="10">
        <f t="shared" ref="D11:D25" si="1">D10+1</f>
        <v>2</v>
      </c>
      <c r="E11" s="11" t="s">
        <v>169</v>
      </c>
      <c r="G11" s="10">
        <f t="shared" ref="G11:G17" si="2">G10+1</f>
        <v>2</v>
      </c>
      <c r="H11" s="11" t="s">
        <v>167</v>
      </c>
      <c r="J11" s="10">
        <f>J10+1</f>
        <v>2</v>
      </c>
      <c r="K11" s="11" t="s">
        <v>148</v>
      </c>
      <c r="M11" s="10">
        <f>M10+1</f>
        <v>2</v>
      </c>
      <c r="N11" s="11" t="s">
        <v>151</v>
      </c>
    </row>
    <row r="12" spans="1:17" s="9" customFormat="1" x14ac:dyDescent="0.35">
      <c r="A12" s="10">
        <f t="shared" si="0"/>
        <v>3</v>
      </c>
      <c r="B12" s="11" t="s">
        <v>24</v>
      </c>
      <c r="D12" s="10">
        <f t="shared" si="1"/>
        <v>3</v>
      </c>
      <c r="E12" s="11" t="s">
        <v>167</v>
      </c>
      <c r="G12" s="10">
        <f t="shared" si="2"/>
        <v>3</v>
      </c>
      <c r="H12" s="11" t="s">
        <v>148</v>
      </c>
      <c r="J12" s="10">
        <f>J11+1</f>
        <v>3</v>
      </c>
      <c r="K12" s="11" t="s">
        <v>155</v>
      </c>
    </row>
    <row r="13" spans="1:17" s="9" customFormat="1" x14ac:dyDescent="0.35">
      <c r="A13" s="10">
        <f t="shared" si="0"/>
        <v>4</v>
      </c>
      <c r="B13" s="11" t="s">
        <v>253</v>
      </c>
      <c r="D13" s="10">
        <f t="shared" si="1"/>
        <v>4</v>
      </c>
      <c r="E13" s="11" t="s">
        <v>146</v>
      </c>
      <c r="G13" s="10">
        <f t="shared" si="2"/>
        <v>4</v>
      </c>
      <c r="H13" s="11" t="s">
        <v>157</v>
      </c>
      <c r="J13" s="10">
        <f>J12+1</f>
        <v>4</v>
      </c>
      <c r="K13" s="11" t="s">
        <v>151</v>
      </c>
    </row>
    <row r="14" spans="1:17" s="9" customFormat="1" x14ac:dyDescent="0.35">
      <c r="A14" s="10">
        <f t="shared" si="0"/>
        <v>5</v>
      </c>
      <c r="B14" s="11" t="s">
        <v>37</v>
      </c>
      <c r="D14" s="10">
        <f t="shared" si="1"/>
        <v>5</v>
      </c>
      <c r="E14" s="11" t="s">
        <v>165</v>
      </c>
      <c r="G14" s="10">
        <f t="shared" si="2"/>
        <v>5</v>
      </c>
      <c r="H14" s="11" t="s">
        <v>155</v>
      </c>
    </row>
    <row r="15" spans="1:17" s="9" customFormat="1" x14ac:dyDescent="0.35">
      <c r="A15" s="10">
        <f t="shared" si="0"/>
        <v>6</v>
      </c>
      <c r="B15" s="11" t="s">
        <v>43</v>
      </c>
      <c r="D15" s="10">
        <f t="shared" si="1"/>
        <v>6</v>
      </c>
      <c r="E15" s="11" t="s">
        <v>148</v>
      </c>
      <c r="G15" s="10">
        <f t="shared" si="2"/>
        <v>6</v>
      </c>
      <c r="H15" s="11" t="s">
        <v>151</v>
      </c>
    </row>
    <row r="16" spans="1:17" s="9" customFormat="1" x14ac:dyDescent="0.35">
      <c r="A16" s="10">
        <f t="shared" si="0"/>
        <v>7</v>
      </c>
      <c r="B16" s="11" t="s">
        <v>49</v>
      </c>
      <c r="D16" s="10">
        <f t="shared" si="1"/>
        <v>7</v>
      </c>
      <c r="E16" s="11" t="s">
        <v>157</v>
      </c>
      <c r="G16" s="10">
        <f t="shared" si="2"/>
        <v>7</v>
      </c>
      <c r="H16" s="11" t="s">
        <v>146</v>
      </c>
    </row>
    <row r="17" spans="1:11" s="9" customFormat="1" x14ac:dyDescent="0.35">
      <c r="A17" s="10">
        <f t="shared" si="0"/>
        <v>8</v>
      </c>
      <c r="B17" s="11" t="s">
        <v>56</v>
      </c>
      <c r="D17" s="10">
        <f t="shared" si="1"/>
        <v>8</v>
      </c>
      <c r="E17" s="11" t="s">
        <v>160</v>
      </c>
      <c r="G17" s="10">
        <f t="shared" si="2"/>
        <v>8</v>
      </c>
      <c r="H17" s="11" t="s">
        <v>75</v>
      </c>
    </row>
    <row r="18" spans="1:11" s="9" customFormat="1" x14ac:dyDescent="0.35">
      <c r="A18" s="10">
        <f t="shared" si="0"/>
        <v>9</v>
      </c>
      <c r="B18" s="11" t="s">
        <v>62</v>
      </c>
      <c r="D18" s="10">
        <f t="shared" si="1"/>
        <v>9</v>
      </c>
      <c r="E18" s="11" t="s">
        <v>155</v>
      </c>
    </row>
    <row r="19" spans="1:11" s="9" customFormat="1" x14ac:dyDescent="0.35">
      <c r="A19" s="10">
        <f t="shared" si="0"/>
        <v>10</v>
      </c>
      <c r="B19" s="11" t="s">
        <v>68</v>
      </c>
      <c r="D19" s="10">
        <f t="shared" si="1"/>
        <v>10</v>
      </c>
      <c r="E19" s="11" t="s">
        <v>75</v>
      </c>
    </row>
    <row r="20" spans="1:11" s="9" customFormat="1" x14ac:dyDescent="0.35">
      <c r="A20" s="10">
        <f t="shared" si="0"/>
        <v>11</v>
      </c>
      <c r="B20" s="11" t="s">
        <v>75</v>
      </c>
      <c r="D20" s="10">
        <f t="shared" si="1"/>
        <v>11</v>
      </c>
      <c r="E20" s="11" t="s">
        <v>151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81</v>
      </c>
      <c r="D21" s="10">
        <f t="shared" si="1"/>
        <v>12</v>
      </c>
      <c r="E21" s="11" t="s">
        <v>150</v>
      </c>
    </row>
    <row r="22" spans="1:11" s="9" customFormat="1" x14ac:dyDescent="0.35">
      <c r="A22" s="10">
        <f t="shared" si="0"/>
        <v>13</v>
      </c>
      <c r="B22" s="11" t="s">
        <v>255</v>
      </c>
      <c r="D22" s="10">
        <f t="shared" si="1"/>
        <v>13</v>
      </c>
      <c r="E22" s="11" t="s">
        <v>59</v>
      </c>
      <c r="H22" s="9" t="s">
        <v>113</v>
      </c>
      <c r="K22" s="11" t="s">
        <v>249</v>
      </c>
    </row>
    <row r="23" spans="1:11" s="9" customFormat="1" x14ac:dyDescent="0.35">
      <c r="A23" s="10">
        <f t="shared" si="0"/>
        <v>14</v>
      </c>
      <c r="B23" s="11" t="s">
        <v>18</v>
      </c>
      <c r="D23" s="10">
        <f t="shared" si="1"/>
        <v>14</v>
      </c>
      <c r="E23" s="11" t="s">
        <v>33</v>
      </c>
      <c r="H23" s="9" t="s">
        <v>116</v>
      </c>
      <c r="K23" s="11" t="s">
        <v>11</v>
      </c>
    </row>
    <row r="24" spans="1:11" s="9" customFormat="1" x14ac:dyDescent="0.35">
      <c r="A24" s="10">
        <f t="shared" si="0"/>
        <v>15</v>
      </c>
      <c r="B24" s="11" t="s">
        <v>25</v>
      </c>
      <c r="D24" s="10">
        <f t="shared" si="1"/>
        <v>15</v>
      </c>
      <c r="E24" s="11" t="s">
        <v>173</v>
      </c>
      <c r="H24" s="9" t="s">
        <v>119</v>
      </c>
      <c r="K24" s="11" t="s">
        <v>254</v>
      </c>
    </row>
    <row r="25" spans="1:11" s="9" customFormat="1" x14ac:dyDescent="0.35">
      <c r="A25" s="10">
        <f t="shared" si="0"/>
        <v>16</v>
      </c>
      <c r="B25" s="11" t="s">
        <v>135</v>
      </c>
      <c r="D25" s="10">
        <f t="shared" si="1"/>
        <v>16</v>
      </c>
      <c r="E25" s="11" t="s">
        <v>253</v>
      </c>
    </row>
    <row r="26" spans="1:11" s="9" customFormat="1" x14ac:dyDescent="0.35">
      <c r="A26" s="10">
        <f t="shared" si="0"/>
        <v>17</v>
      </c>
      <c r="B26" s="11" t="s">
        <v>40</v>
      </c>
      <c r="H26" s="9" t="s">
        <v>122</v>
      </c>
      <c r="K26" s="13">
        <v>288</v>
      </c>
    </row>
    <row r="27" spans="1:11" s="9" customFormat="1" x14ac:dyDescent="0.35">
      <c r="A27" s="10">
        <f t="shared" si="0"/>
        <v>18</v>
      </c>
      <c r="B27" s="11" t="s">
        <v>132</v>
      </c>
      <c r="H27" s="9" t="s">
        <v>124</v>
      </c>
    </row>
    <row r="28" spans="1:11" x14ac:dyDescent="0.35">
      <c r="A28" s="10">
        <f t="shared" si="0"/>
        <v>19</v>
      </c>
      <c r="B28" s="11" t="s">
        <v>52</v>
      </c>
    </row>
    <row r="29" spans="1:11" x14ac:dyDescent="0.35">
      <c r="A29" s="10">
        <f t="shared" si="0"/>
        <v>20</v>
      </c>
      <c r="B29" s="11" t="s">
        <v>59</v>
      </c>
    </row>
    <row r="30" spans="1:11" x14ac:dyDescent="0.35">
      <c r="A30" s="10">
        <f t="shared" si="0"/>
        <v>21</v>
      </c>
      <c r="B30" s="11" t="s">
        <v>63</v>
      </c>
    </row>
    <row r="31" spans="1:11" x14ac:dyDescent="0.35">
      <c r="A31" s="10">
        <f t="shared" si="0"/>
        <v>22</v>
      </c>
      <c r="B31" s="11" t="s">
        <v>70</v>
      </c>
    </row>
    <row r="32" spans="1:11" x14ac:dyDescent="0.35">
      <c r="A32" s="10">
        <f t="shared" si="0"/>
        <v>23</v>
      </c>
      <c r="B32" s="11" t="s">
        <v>78</v>
      </c>
    </row>
    <row r="33" spans="1:2" x14ac:dyDescent="0.35">
      <c r="A33" s="10">
        <f t="shared" si="0"/>
        <v>24</v>
      </c>
      <c r="B33" s="11" t="s">
        <v>82</v>
      </c>
    </row>
    <row r="34" spans="1:2" x14ac:dyDescent="0.35">
      <c r="A34" s="10">
        <f t="shared" si="0"/>
        <v>25</v>
      </c>
      <c r="B34" s="11" t="s">
        <v>252</v>
      </c>
    </row>
    <row r="35" spans="1:2" x14ac:dyDescent="0.35">
      <c r="A35" s="10">
        <f t="shared" si="0"/>
        <v>26</v>
      </c>
      <c r="B35" s="11" t="s">
        <v>27</v>
      </c>
    </row>
    <row r="36" spans="1:2" x14ac:dyDescent="0.35">
      <c r="A36" s="10">
        <f t="shared" si="0"/>
        <v>27</v>
      </c>
      <c r="B36" s="11" t="s">
        <v>39</v>
      </c>
    </row>
    <row r="37" spans="1:2" x14ac:dyDescent="0.35">
      <c r="A37" s="10">
        <f t="shared" si="0"/>
        <v>28</v>
      </c>
      <c r="B37" s="11" t="s">
        <v>44</v>
      </c>
    </row>
    <row r="38" spans="1:2" x14ac:dyDescent="0.35">
      <c r="A38" s="10">
        <f t="shared" si="0"/>
        <v>29</v>
      </c>
      <c r="B38" s="11" t="s">
        <v>51</v>
      </c>
    </row>
    <row r="39" spans="1:2" x14ac:dyDescent="0.35">
      <c r="A39" s="10">
        <f t="shared" si="0"/>
        <v>30</v>
      </c>
      <c r="B39" s="11" t="s">
        <v>65</v>
      </c>
    </row>
    <row r="40" spans="1:2" x14ac:dyDescent="0.35">
      <c r="A40" s="10">
        <f t="shared" si="0"/>
        <v>31</v>
      </c>
      <c r="B40" s="11" t="s">
        <v>83</v>
      </c>
    </row>
    <row r="41" spans="1:2" x14ac:dyDescent="0.35">
      <c r="A41" s="10">
        <f t="shared" si="0"/>
        <v>32</v>
      </c>
      <c r="B41" s="11"/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EC7C-5A68-40A0-AE8A-0FA335DD4347}">
  <sheetPr>
    <tabColor theme="8" tint="0.39997558519241921"/>
  </sheetPr>
  <dimension ref="A6:J82"/>
  <sheetViews>
    <sheetView topLeftCell="A72" workbookViewId="0">
      <selection activeCell="J81" sqref="J81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3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1</v>
      </c>
      <c r="G12" s="3" t="s">
        <v>12</v>
      </c>
      <c r="H12" s="2" t="str">
        <f t="shared" si="0"/>
        <v>D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1</v>
      </c>
      <c r="G13" s="3" t="s">
        <v>10</v>
      </c>
      <c r="H13" s="2" t="str">
        <f t="shared" si="0"/>
        <v>D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0</v>
      </c>
      <c r="F14" s="4">
        <v>2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1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0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3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1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1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6</v>
      </c>
      <c r="F21" s="4">
        <v>0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1</v>
      </c>
      <c r="F22" s="4">
        <v>3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0</v>
      </c>
      <c r="F23" s="4">
        <v>0</v>
      </c>
      <c r="G23" s="3" t="s">
        <v>25</v>
      </c>
      <c r="H23" s="2" t="str">
        <f t="shared" si="0"/>
        <v>D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 t="s">
        <v>256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0</v>
      </c>
      <c r="F30" s="4">
        <v>0</v>
      </c>
      <c r="G30" s="3" t="s">
        <v>31</v>
      </c>
      <c r="H30" s="2" t="str">
        <f t="shared" si="0"/>
        <v>D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  <c r="J32">
        <v>0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2</v>
      </c>
      <c r="F33" s="4">
        <v>2</v>
      </c>
      <c r="G33" s="3" t="s">
        <v>38</v>
      </c>
      <c r="H33" s="2" t="str">
        <f t="shared" si="0"/>
        <v>D</v>
      </c>
      <c r="J33">
        <v>0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2</v>
      </c>
      <c r="G34" s="3" t="s">
        <v>40</v>
      </c>
      <c r="H34" s="2" t="str">
        <f t="shared" si="0"/>
        <v>A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1</v>
      </c>
      <c r="F36" s="4">
        <v>1</v>
      </c>
      <c r="G36" s="3" t="s">
        <v>38</v>
      </c>
      <c r="H36" s="2" t="str">
        <f t="shared" si="0"/>
        <v>D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2</v>
      </c>
      <c r="F38" s="4">
        <v>1</v>
      </c>
      <c r="G38" s="3" t="s">
        <v>39</v>
      </c>
      <c r="H38" s="2" t="str">
        <f t="shared" si="0"/>
        <v>H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3</v>
      </c>
      <c r="F39" s="4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1</v>
      </c>
      <c r="G40" s="3" t="s">
        <v>46</v>
      </c>
      <c r="H40" s="2" t="str">
        <f t="shared" si="0"/>
        <v>D</v>
      </c>
      <c r="J40">
        <v>0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1</v>
      </c>
      <c r="F42" s="4">
        <v>1</v>
      </c>
      <c r="G42" s="3" t="s">
        <v>44</v>
      </c>
      <c r="H42" s="2" t="str">
        <f t="shared" si="1"/>
        <v>D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1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4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1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1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4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2</v>
      </c>
      <c r="F55" s="4">
        <v>2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2</v>
      </c>
      <c r="G57" s="3" t="s">
        <v>63</v>
      </c>
      <c r="H57" s="2" t="str">
        <f t="shared" si="1"/>
        <v>D</v>
      </c>
      <c r="J57">
        <v>0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1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3</v>
      </c>
      <c r="F59" s="4">
        <v>1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1</v>
      </c>
      <c r="F60" s="4">
        <v>1</v>
      </c>
      <c r="G60" s="3" t="s">
        <v>63</v>
      </c>
      <c r="H60" s="2" t="str">
        <f t="shared" si="1"/>
        <v>D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2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1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2</v>
      </c>
      <c r="G65" s="3" t="s">
        <v>70</v>
      </c>
      <c r="H65" s="2" t="str">
        <f t="shared" si="1"/>
        <v>D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1</v>
      </c>
      <c r="F66" s="4">
        <v>1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2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3</v>
      </c>
      <c r="F69" s="4">
        <v>1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2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2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D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0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1</v>
      </c>
      <c r="F77" s="4">
        <v>1</v>
      </c>
      <c r="G77" s="3" t="s">
        <v>83</v>
      </c>
      <c r="H77" s="2" t="str">
        <f t="shared" si="2"/>
        <v>D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2</v>
      </c>
      <c r="G80" s="3" t="s">
        <v>83</v>
      </c>
      <c r="H80" s="2" t="str">
        <f t="shared" si="2"/>
        <v>D</v>
      </c>
      <c r="J80" s="54"/>
    </row>
    <row r="82" spans="10:10" x14ac:dyDescent="0.35">
      <c r="J82">
        <f>SUM(J8:J80)</f>
        <v>11</v>
      </c>
    </row>
  </sheetData>
  <pageMargins left="0.75" right="0.75" top="1" bottom="1" header="0.5" footer="0.5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6138-7A69-4587-BE79-2D98C73393E1}">
  <sheetPr>
    <tabColor theme="8" tint="0.39997558519241921"/>
  </sheetPr>
  <dimension ref="A5:Q42"/>
  <sheetViews>
    <sheetView topLeftCell="A15" workbookViewId="0">
      <selection activeCell="F80" sqref="F80"/>
    </sheetView>
  </sheetViews>
  <sheetFormatPr defaultRowHeight="14.5" x14ac:dyDescent="0.35"/>
  <cols>
    <col min="1" max="1" width="3.26953125" customWidth="1"/>
    <col min="2" max="2" width="20.6328125" customWidth="1"/>
    <col min="3" max="3" width="1.7265625" customWidth="1"/>
    <col min="4" max="4" width="3.26953125" customWidth="1"/>
    <col min="5" max="5" width="20.6328125" customWidth="1"/>
    <col min="6" max="6" width="1.7265625" customWidth="1"/>
    <col min="7" max="7" width="3.26953125" customWidth="1"/>
    <col min="8" max="8" width="20.6328125" customWidth="1"/>
    <col min="9" max="9" width="1.7265625" customWidth="1"/>
    <col min="10" max="10" width="3.26953125" customWidth="1"/>
    <col min="11" max="11" width="20.6328125" customWidth="1"/>
    <col min="12" max="12" width="1.7265625" customWidth="1"/>
    <col min="13" max="13" width="3.26953125" customWidth="1"/>
    <col min="14" max="14" width="20.6328125" customWidth="1"/>
    <col min="15" max="15" width="1.7265625" customWidth="1"/>
    <col min="16" max="16" width="3.2695312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10</v>
      </c>
      <c r="G10" s="10">
        <v>1</v>
      </c>
      <c r="H10" s="11" t="s">
        <v>24</v>
      </c>
      <c r="J10" s="10">
        <v>1</v>
      </c>
      <c r="K10" s="11" t="s">
        <v>43</v>
      </c>
      <c r="M10" s="10">
        <v>1</v>
      </c>
      <c r="N10" s="11" t="s">
        <v>43</v>
      </c>
      <c r="P10" s="10">
        <v>1</v>
      </c>
      <c r="Q10" s="11" t="s">
        <v>43</v>
      </c>
    </row>
    <row r="11" spans="1:17" s="9" customFormat="1" x14ac:dyDescent="0.35">
      <c r="A11" s="10">
        <f t="shared" ref="A11:A41" si="0">A10+1</f>
        <v>2</v>
      </c>
      <c r="B11" s="11" t="s">
        <v>12</v>
      </c>
      <c r="D11" s="10">
        <f t="shared" ref="D11:D25" si="1">D10+1</f>
        <v>2</v>
      </c>
      <c r="E11" s="11" t="s">
        <v>22</v>
      </c>
      <c r="G11" s="10">
        <f t="shared" ref="G11:G17" si="2">G10+1</f>
        <v>2</v>
      </c>
      <c r="H11" s="11" t="s">
        <v>43</v>
      </c>
      <c r="J11" s="10">
        <f>J10+1</f>
        <v>2</v>
      </c>
      <c r="K11" s="11" t="s">
        <v>24</v>
      </c>
      <c r="M11" s="10">
        <f>M10+1</f>
        <v>2</v>
      </c>
      <c r="N11" s="11" t="s">
        <v>81</v>
      </c>
    </row>
    <row r="12" spans="1:17" s="9" customFormat="1" x14ac:dyDescent="0.35">
      <c r="A12" s="10">
        <f t="shared" si="0"/>
        <v>3</v>
      </c>
      <c r="B12" s="11" t="s">
        <v>22</v>
      </c>
      <c r="D12" s="10">
        <f t="shared" si="1"/>
        <v>3</v>
      </c>
      <c r="E12" s="11" t="s">
        <v>24</v>
      </c>
      <c r="G12" s="10">
        <f t="shared" si="2"/>
        <v>3</v>
      </c>
      <c r="H12" s="11" t="s">
        <v>56</v>
      </c>
      <c r="J12" s="10">
        <f>J11+1</f>
        <v>3</v>
      </c>
      <c r="K12" s="11" t="s">
        <v>25</v>
      </c>
    </row>
    <row r="13" spans="1:17" s="9" customFormat="1" x14ac:dyDescent="0.35">
      <c r="A13" s="10">
        <f t="shared" si="0"/>
        <v>4</v>
      </c>
      <c r="B13" s="11" t="s">
        <v>18</v>
      </c>
      <c r="D13" s="10">
        <f t="shared" si="1"/>
        <v>4</v>
      </c>
      <c r="E13" s="11" t="s">
        <v>30</v>
      </c>
      <c r="G13" s="10">
        <f t="shared" si="2"/>
        <v>4</v>
      </c>
      <c r="H13" s="11" t="s">
        <v>62</v>
      </c>
      <c r="J13" s="10">
        <f>J12+1</f>
        <v>4</v>
      </c>
      <c r="K13" s="11" t="s">
        <v>81</v>
      </c>
    </row>
    <row r="14" spans="1:17" s="9" customFormat="1" x14ac:dyDescent="0.35">
      <c r="A14" s="10">
        <f t="shared" si="0"/>
        <v>5</v>
      </c>
      <c r="B14" s="11" t="s">
        <v>24</v>
      </c>
      <c r="D14" s="10">
        <f t="shared" si="1"/>
        <v>5</v>
      </c>
      <c r="E14" s="11" t="s">
        <v>37</v>
      </c>
      <c r="G14" s="10">
        <f t="shared" si="2"/>
        <v>5</v>
      </c>
      <c r="H14" s="11" t="s">
        <v>68</v>
      </c>
    </row>
    <row r="15" spans="1:17" s="9" customFormat="1" x14ac:dyDescent="0.35">
      <c r="A15" s="10">
        <f t="shared" si="0"/>
        <v>6</v>
      </c>
      <c r="B15" s="11" t="s">
        <v>25</v>
      </c>
      <c r="D15" s="10">
        <f t="shared" si="1"/>
        <v>6</v>
      </c>
      <c r="E15" s="11" t="s">
        <v>43</v>
      </c>
      <c r="G15" s="10">
        <f t="shared" si="2"/>
        <v>6</v>
      </c>
      <c r="H15" s="11" t="s">
        <v>81</v>
      </c>
    </row>
    <row r="16" spans="1:17" s="9" customFormat="1" x14ac:dyDescent="0.35">
      <c r="A16" s="10">
        <f t="shared" si="0"/>
        <v>7</v>
      </c>
      <c r="B16" s="11" t="s">
        <v>30</v>
      </c>
      <c r="D16" s="10">
        <f t="shared" si="1"/>
        <v>7</v>
      </c>
      <c r="E16" s="11" t="s">
        <v>62</v>
      </c>
      <c r="G16" s="10">
        <f t="shared" si="2"/>
        <v>7</v>
      </c>
      <c r="H16" s="11" t="s">
        <v>25</v>
      </c>
    </row>
    <row r="17" spans="1:11" s="9" customFormat="1" x14ac:dyDescent="0.35">
      <c r="A17" s="10">
        <f t="shared" si="0"/>
        <v>8</v>
      </c>
      <c r="B17" s="11" t="s">
        <v>33</v>
      </c>
      <c r="D17" s="10">
        <f t="shared" si="1"/>
        <v>8</v>
      </c>
      <c r="E17" s="11" t="s">
        <v>56</v>
      </c>
      <c r="G17" s="10">
        <f t="shared" si="2"/>
        <v>8</v>
      </c>
      <c r="H17" s="11" t="s">
        <v>37</v>
      </c>
    </row>
    <row r="18" spans="1:11" s="9" customFormat="1" x14ac:dyDescent="0.35">
      <c r="A18" s="10">
        <f t="shared" si="0"/>
        <v>9</v>
      </c>
      <c r="B18" s="11" t="s">
        <v>37</v>
      </c>
      <c r="D18" s="10">
        <f t="shared" si="1"/>
        <v>9</v>
      </c>
      <c r="E18" s="11" t="s">
        <v>63</v>
      </c>
    </row>
    <row r="19" spans="1:11" s="9" customFormat="1" x14ac:dyDescent="0.35">
      <c r="A19" s="10">
        <f t="shared" si="0"/>
        <v>10</v>
      </c>
      <c r="B19" s="11" t="s">
        <v>196</v>
      </c>
      <c r="D19" s="10">
        <f t="shared" si="1"/>
        <v>10</v>
      </c>
      <c r="E19" s="11" t="s">
        <v>68</v>
      </c>
    </row>
    <row r="20" spans="1:11" s="9" customFormat="1" x14ac:dyDescent="0.35">
      <c r="A20" s="10">
        <f t="shared" si="0"/>
        <v>11</v>
      </c>
      <c r="B20" s="11" t="s">
        <v>43</v>
      </c>
      <c r="D20" s="10">
        <f t="shared" si="1"/>
        <v>11</v>
      </c>
      <c r="E20" s="11" t="s">
        <v>78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44</v>
      </c>
      <c r="D21" s="10">
        <f t="shared" si="1"/>
        <v>12</v>
      </c>
      <c r="E21" s="11" t="s">
        <v>81</v>
      </c>
    </row>
    <row r="22" spans="1:11" s="9" customFormat="1" x14ac:dyDescent="0.35">
      <c r="A22" s="10">
        <f t="shared" si="0"/>
        <v>13</v>
      </c>
      <c r="B22" s="11" t="s">
        <v>49</v>
      </c>
      <c r="D22" s="10">
        <f t="shared" si="1"/>
        <v>13</v>
      </c>
      <c r="E22" s="11" t="s">
        <v>25</v>
      </c>
      <c r="H22" s="9" t="s">
        <v>113</v>
      </c>
      <c r="K22" s="11" t="s">
        <v>259</v>
      </c>
    </row>
    <row r="23" spans="1:11" s="9" customFormat="1" x14ac:dyDescent="0.35">
      <c r="A23" s="10">
        <f t="shared" si="0"/>
        <v>14</v>
      </c>
      <c r="B23" s="11" t="s">
        <v>50</v>
      </c>
      <c r="D23" s="10">
        <f t="shared" si="1"/>
        <v>14</v>
      </c>
      <c r="E23" s="11" t="s">
        <v>40</v>
      </c>
      <c r="H23" s="9" t="s">
        <v>116</v>
      </c>
      <c r="K23" s="11" t="s">
        <v>78</v>
      </c>
    </row>
    <row r="24" spans="1:11" s="9" customFormat="1" x14ac:dyDescent="0.35">
      <c r="A24" s="10">
        <f t="shared" si="0"/>
        <v>15</v>
      </c>
      <c r="B24" s="11" t="s">
        <v>56</v>
      </c>
      <c r="D24" s="10">
        <f t="shared" si="1"/>
        <v>15</v>
      </c>
      <c r="E24" s="11" t="s">
        <v>75</v>
      </c>
      <c r="H24" s="9" t="s">
        <v>119</v>
      </c>
      <c r="K24" s="11" t="s">
        <v>258</v>
      </c>
    </row>
    <row r="25" spans="1:11" s="9" customFormat="1" x14ac:dyDescent="0.35">
      <c r="A25" s="10">
        <f t="shared" si="0"/>
        <v>16</v>
      </c>
      <c r="B25" s="11" t="s">
        <v>59</v>
      </c>
      <c r="D25" s="10">
        <f t="shared" si="1"/>
        <v>16</v>
      </c>
      <c r="E25" s="11" t="s">
        <v>83</v>
      </c>
    </row>
    <row r="26" spans="1:11" s="9" customFormat="1" x14ac:dyDescent="0.35">
      <c r="A26" s="10">
        <f t="shared" si="0"/>
        <v>17</v>
      </c>
      <c r="B26" s="11" t="s">
        <v>62</v>
      </c>
      <c r="H26" s="9" t="s">
        <v>122</v>
      </c>
      <c r="K26" s="13">
        <v>187</v>
      </c>
    </row>
    <row r="27" spans="1:11" s="9" customFormat="1" x14ac:dyDescent="0.35">
      <c r="A27" s="10">
        <f t="shared" si="0"/>
        <v>18</v>
      </c>
      <c r="B27" s="11" t="s">
        <v>63</v>
      </c>
      <c r="H27" s="9" t="s">
        <v>124</v>
      </c>
    </row>
    <row r="28" spans="1:11" x14ac:dyDescent="0.35">
      <c r="A28" s="10">
        <f t="shared" si="0"/>
        <v>19</v>
      </c>
      <c r="B28" s="11" t="s">
        <v>68</v>
      </c>
    </row>
    <row r="29" spans="1:11" x14ac:dyDescent="0.35">
      <c r="A29" s="10">
        <f t="shared" si="0"/>
        <v>20</v>
      </c>
      <c r="B29" s="11" t="s">
        <v>257</v>
      </c>
    </row>
    <row r="30" spans="1:11" x14ac:dyDescent="0.35">
      <c r="A30" s="10">
        <f t="shared" si="0"/>
        <v>21</v>
      </c>
      <c r="B30" s="11" t="s">
        <v>75</v>
      </c>
    </row>
    <row r="31" spans="1:11" x14ac:dyDescent="0.35">
      <c r="A31" s="10">
        <f t="shared" si="0"/>
        <v>22</v>
      </c>
      <c r="B31" s="11" t="s">
        <v>78</v>
      </c>
    </row>
    <row r="32" spans="1:11" x14ac:dyDescent="0.35">
      <c r="A32" s="10">
        <f t="shared" si="0"/>
        <v>23</v>
      </c>
      <c r="B32" s="11" t="s">
        <v>81</v>
      </c>
    </row>
    <row r="33" spans="1:2" x14ac:dyDescent="0.35">
      <c r="A33" s="10">
        <f t="shared" si="0"/>
        <v>24</v>
      </c>
      <c r="B33" s="11" t="s">
        <v>82</v>
      </c>
    </row>
    <row r="34" spans="1:2" x14ac:dyDescent="0.35">
      <c r="A34" s="10">
        <f t="shared" si="0"/>
        <v>25</v>
      </c>
      <c r="B34" s="11" t="s">
        <v>147</v>
      </c>
    </row>
    <row r="35" spans="1:2" x14ac:dyDescent="0.35">
      <c r="A35" s="10">
        <f t="shared" si="0"/>
        <v>26</v>
      </c>
      <c r="B35" s="11" t="s">
        <v>27</v>
      </c>
    </row>
    <row r="36" spans="1:2" x14ac:dyDescent="0.35">
      <c r="A36" s="10">
        <f t="shared" si="0"/>
        <v>27</v>
      </c>
      <c r="B36" s="11" t="s">
        <v>40</v>
      </c>
    </row>
    <row r="37" spans="1:2" x14ac:dyDescent="0.35">
      <c r="A37" s="10">
        <f t="shared" si="0"/>
        <v>28</v>
      </c>
      <c r="B37" s="11" t="s">
        <v>51</v>
      </c>
    </row>
    <row r="38" spans="1:2" x14ac:dyDescent="0.35">
      <c r="A38" s="10">
        <f t="shared" si="0"/>
        <v>29</v>
      </c>
      <c r="B38" s="11" t="s">
        <v>65</v>
      </c>
    </row>
    <row r="39" spans="1:2" x14ac:dyDescent="0.35">
      <c r="A39" s="10">
        <f t="shared" si="0"/>
        <v>30</v>
      </c>
      <c r="B39" s="11" t="s">
        <v>83</v>
      </c>
    </row>
    <row r="40" spans="1:2" x14ac:dyDescent="0.35">
      <c r="A40" s="10">
        <f t="shared" si="0"/>
        <v>31</v>
      </c>
      <c r="B40" s="11" t="s">
        <v>132</v>
      </c>
    </row>
    <row r="41" spans="1:2" x14ac:dyDescent="0.35">
      <c r="A41" s="10">
        <f t="shared" si="0"/>
        <v>32</v>
      </c>
      <c r="B41" s="11" t="s">
        <v>31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3AC6-0014-45D3-A7AA-AE55089D9548}">
  <sheetPr>
    <tabColor theme="8" tint="0.39997558519241921"/>
  </sheetPr>
  <dimension ref="A6:J82"/>
  <sheetViews>
    <sheetView topLeftCell="A64" workbookViewId="0">
      <selection activeCell="J82" sqref="J82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1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1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0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0</v>
      </c>
      <c r="F13" s="4">
        <v>2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2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1</v>
      </c>
      <c r="F15" s="4">
        <v>1</v>
      </c>
      <c r="G15" s="3" t="s">
        <v>19</v>
      </c>
      <c r="H15" s="2" t="str">
        <f t="shared" si="0"/>
        <v>D</v>
      </c>
      <c r="J15">
        <v>3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1</v>
      </c>
      <c r="F17" s="4">
        <v>1</v>
      </c>
      <c r="G17" s="3" t="s">
        <v>19</v>
      </c>
      <c r="H17" s="2" t="str">
        <f t="shared" si="0"/>
        <v>D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2</v>
      </c>
      <c r="F19" s="4">
        <v>1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3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1</v>
      </c>
      <c r="G23" s="3" t="s">
        <v>25</v>
      </c>
      <c r="H23" s="2" t="str">
        <f t="shared" si="0"/>
        <v>D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0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1</v>
      </c>
      <c r="G28" s="3" t="s">
        <v>33</v>
      </c>
      <c r="H28" s="2" t="str">
        <f t="shared" si="0"/>
        <v>D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2</v>
      </c>
      <c r="F32" s="4">
        <v>1</v>
      </c>
      <c r="G32" s="3" t="s">
        <v>32</v>
      </c>
      <c r="H32" s="2" t="str">
        <f t="shared" si="0"/>
        <v>H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4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1</v>
      </c>
      <c r="G34" s="3" t="s">
        <v>40</v>
      </c>
      <c r="H34" s="2" t="str">
        <f t="shared" si="0"/>
        <v>D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1</v>
      </c>
      <c r="F35" s="4">
        <v>1</v>
      </c>
      <c r="G35" s="3" t="s">
        <v>39</v>
      </c>
      <c r="H35" s="2" t="str">
        <f t="shared" si="0"/>
        <v>D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3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0</v>
      </c>
      <c r="F38" s="4">
        <v>2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1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D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2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1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3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1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2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1</v>
      </c>
      <c r="F47" s="4">
        <v>1</v>
      </c>
      <c r="G47" s="3" t="s">
        <v>51</v>
      </c>
      <c r="H47" s="2" t="str">
        <f t="shared" si="1"/>
        <v>D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1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0</v>
      </c>
      <c r="G55" s="3" t="s">
        <v>58</v>
      </c>
      <c r="H55" s="2" t="str">
        <f t="shared" si="1"/>
        <v>H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1</v>
      </c>
      <c r="G56" s="3" t="s">
        <v>56</v>
      </c>
      <c r="H56" s="2" t="str">
        <f t="shared" si="1"/>
        <v>D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3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1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1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3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1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1</v>
      </c>
      <c r="F65" s="4">
        <v>0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2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1</v>
      </c>
      <c r="G67" s="3" t="s">
        <v>70</v>
      </c>
      <c r="H67" s="2" t="str">
        <f t="shared" si="1"/>
        <v>D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2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2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3</v>
      </c>
      <c r="F71" s="4">
        <v>1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1</v>
      </c>
      <c r="G73" s="3" t="s">
        <v>75</v>
      </c>
      <c r="H73" s="2" t="str">
        <f t="shared" ref="H73:H80" si="2">IF(AND(E73&lt;&gt;"",F73&lt;&gt;""),IF(E73&gt;F73,"H",IF(E73&lt;F73,"A","D")),"")</f>
        <v>D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0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1</v>
      </c>
      <c r="F77" s="4">
        <v>1</v>
      </c>
      <c r="G77" s="3" t="s">
        <v>83</v>
      </c>
      <c r="H77" s="2" t="str">
        <f t="shared" si="2"/>
        <v>D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1</v>
      </c>
      <c r="G80" s="3" t="s">
        <v>83</v>
      </c>
      <c r="H80" s="2" t="str">
        <f t="shared" si="2"/>
        <v>D</v>
      </c>
      <c r="J80" s="54"/>
    </row>
    <row r="82" spans="10:10" x14ac:dyDescent="0.35">
      <c r="J82">
        <f>SUM(J8:J80)</f>
        <v>15</v>
      </c>
    </row>
  </sheetData>
  <pageMargins left="0.75" right="0.75" top="1" bottom="1" header="0.5" footer="0.5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3B5E-1D54-4264-990A-33F35B3EBD62}">
  <sheetPr>
    <tabColor theme="8" tint="0.39997558519241921"/>
  </sheetPr>
  <dimension ref="A5:Q42"/>
  <sheetViews>
    <sheetView topLeftCell="B13" workbookViewId="0">
      <selection activeCell="E83" sqref="E83"/>
    </sheetView>
  </sheetViews>
  <sheetFormatPr defaultRowHeight="14.5" x14ac:dyDescent="0.35"/>
  <cols>
    <col min="1" max="1" width="3.26953125" customWidth="1"/>
    <col min="2" max="2" width="20.6328125" customWidth="1"/>
    <col min="3" max="3" width="1.7265625" customWidth="1"/>
    <col min="4" max="4" width="3.26953125" customWidth="1"/>
    <col min="5" max="5" width="20.6328125" customWidth="1"/>
    <col min="6" max="6" width="1.7265625" customWidth="1"/>
    <col min="7" max="7" width="3.26953125" customWidth="1"/>
    <col min="8" max="8" width="20.6328125" customWidth="1"/>
    <col min="9" max="9" width="1.7265625" customWidth="1"/>
    <col min="10" max="10" width="3.26953125" customWidth="1"/>
    <col min="11" max="11" width="20.6328125" customWidth="1"/>
    <col min="12" max="12" width="1.7265625" customWidth="1"/>
    <col min="13" max="13" width="3.26953125" customWidth="1"/>
    <col min="14" max="14" width="20.6328125" customWidth="1"/>
    <col min="15" max="15" width="1.7265625" customWidth="1"/>
    <col min="16" max="16" width="3.2695312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93</v>
      </c>
      <c r="D10" s="10">
        <v>1</v>
      </c>
      <c r="E10" s="11" t="s">
        <v>270</v>
      </c>
      <c r="G10" s="10">
        <v>1</v>
      </c>
      <c r="H10" s="11" t="s">
        <v>270</v>
      </c>
      <c r="J10" s="10">
        <v>1</v>
      </c>
      <c r="K10" s="11" t="s">
        <v>270</v>
      </c>
      <c r="M10" s="10">
        <v>1</v>
      </c>
      <c r="N10" s="11" t="s">
        <v>270</v>
      </c>
      <c r="P10" s="10">
        <v>1</v>
      </c>
      <c r="Q10" s="11" t="s">
        <v>270</v>
      </c>
    </row>
    <row r="11" spans="1:17" s="9" customFormat="1" x14ac:dyDescent="0.35">
      <c r="A11" s="10">
        <f t="shared" ref="A11:A41" si="0">A10+1</f>
        <v>2</v>
      </c>
      <c r="B11" s="11" t="s">
        <v>281</v>
      </c>
      <c r="D11" s="10">
        <f t="shared" ref="D11:D25" si="1">D10+1</f>
        <v>2</v>
      </c>
      <c r="E11" s="11" t="s">
        <v>273</v>
      </c>
      <c r="G11" s="10">
        <f t="shared" ref="G11:G17" si="2">G10+1</f>
        <v>2</v>
      </c>
      <c r="H11" s="11" t="s">
        <v>273</v>
      </c>
      <c r="J11" s="10">
        <f>J10+1</f>
        <v>2</v>
      </c>
      <c r="K11" s="11" t="s">
        <v>273</v>
      </c>
      <c r="M11" s="10">
        <f>M10+1</f>
        <v>2</v>
      </c>
      <c r="N11" s="11" t="s">
        <v>273</v>
      </c>
    </row>
    <row r="12" spans="1:17" s="9" customFormat="1" x14ac:dyDescent="0.35">
      <c r="A12" s="10">
        <f t="shared" si="0"/>
        <v>3</v>
      </c>
      <c r="B12" s="11" t="s">
        <v>272</v>
      </c>
      <c r="D12" s="10">
        <f t="shared" si="1"/>
        <v>3</v>
      </c>
      <c r="E12" s="11" t="s">
        <v>268</v>
      </c>
      <c r="G12" s="10">
        <f t="shared" si="2"/>
        <v>3</v>
      </c>
      <c r="H12" s="11" t="s">
        <v>268</v>
      </c>
      <c r="J12" s="10">
        <f>J11+1</f>
        <v>3</v>
      </c>
      <c r="K12" s="11" t="s">
        <v>268</v>
      </c>
    </row>
    <row r="13" spans="1:17" s="9" customFormat="1" x14ac:dyDescent="0.35">
      <c r="A13" s="10">
        <f t="shared" si="0"/>
        <v>4</v>
      </c>
      <c r="B13" s="11" t="s">
        <v>280</v>
      </c>
      <c r="D13" s="10">
        <f t="shared" si="1"/>
        <v>4</v>
      </c>
      <c r="E13" s="11" t="s">
        <v>279</v>
      </c>
      <c r="G13" s="10">
        <f t="shared" si="2"/>
        <v>4</v>
      </c>
      <c r="H13" s="11" t="s">
        <v>279</v>
      </c>
      <c r="J13" s="10">
        <f>J12+1</f>
        <v>4</v>
      </c>
      <c r="K13" s="11" t="s">
        <v>276</v>
      </c>
    </row>
    <row r="14" spans="1:17" s="9" customFormat="1" x14ac:dyDescent="0.35">
      <c r="A14" s="10">
        <f t="shared" si="0"/>
        <v>5</v>
      </c>
      <c r="B14" s="11" t="s">
        <v>279</v>
      </c>
      <c r="D14" s="10">
        <f t="shared" si="1"/>
        <v>5</v>
      </c>
      <c r="E14" s="11" t="s">
        <v>266</v>
      </c>
      <c r="G14" s="10">
        <f t="shared" si="2"/>
        <v>5</v>
      </c>
      <c r="H14" s="11" t="s">
        <v>266</v>
      </c>
    </row>
    <row r="15" spans="1:17" s="9" customFormat="1" x14ac:dyDescent="0.35">
      <c r="A15" s="10">
        <f t="shared" si="0"/>
        <v>6</v>
      </c>
      <c r="B15" s="11" t="s">
        <v>275</v>
      </c>
      <c r="D15" s="10">
        <f t="shared" si="1"/>
        <v>6</v>
      </c>
      <c r="E15" s="11" t="s">
        <v>105</v>
      </c>
      <c r="G15" s="10">
        <f t="shared" si="2"/>
        <v>6</v>
      </c>
      <c r="H15" s="11" t="s">
        <v>105</v>
      </c>
    </row>
    <row r="16" spans="1:17" s="9" customFormat="1" x14ac:dyDescent="0.35">
      <c r="A16" s="10">
        <f t="shared" si="0"/>
        <v>7</v>
      </c>
      <c r="B16" s="11" t="s">
        <v>102</v>
      </c>
      <c r="D16" s="10">
        <f t="shared" si="1"/>
        <v>7</v>
      </c>
      <c r="E16" s="11" t="s">
        <v>277</v>
      </c>
      <c r="G16" s="10">
        <f t="shared" si="2"/>
        <v>7</v>
      </c>
      <c r="H16" s="11" t="s">
        <v>277</v>
      </c>
    </row>
    <row r="17" spans="1:11" s="9" customFormat="1" x14ac:dyDescent="0.35">
      <c r="A17" s="10">
        <f t="shared" si="0"/>
        <v>8</v>
      </c>
      <c r="B17" s="11" t="s">
        <v>278</v>
      </c>
      <c r="D17" s="10">
        <f t="shared" si="1"/>
        <v>8</v>
      </c>
      <c r="E17" s="11" t="s">
        <v>276</v>
      </c>
      <c r="G17" s="10">
        <f t="shared" si="2"/>
        <v>8</v>
      </c>
      <c r="H17" s="11" t="s">
        <v>276</v>
      </c>
    </row>
    <row r="18" spans="1:11" s="9" customFormat="1" x14ac:dyDescent="0.35">
      <c r="A18" s="10">
        <f t="shared" si="0"/>
        <v>9</v>
      </c>
      <c r="B18" s="11" t="s">
        <v>277</v>
      </c>
      <c r="D18" s="10">
        <f t="shared" si="1"/>
        <v>9</v>
      </c>
      <c r="E18" s="11" t="s">
        <v>274</v>
      </c>
    </row>
    <row r="19" spans="1:11" s="9" customFormat="1" x14ac:dyDescent="0.35">
      <c r="A19" s="10">
        <f t="shared" si="0"/>
        <v>10</v>
      </c>
      <c r="B19" s="11" t="s">
        <v>182</v>
      </c>
      <c r="D19" s="10">
        <f t="shared" si="1"/>
        <v>10</v>
      </c>
      <c r="E19" s="11" t="s">
        <v>130</v>
      </c>
    </row>
    <row r="20" spans="1:11" s="9" customFormat="1" x14ac:dyDescent="0.35">
      <c r="A20" s="10">
        <f t="shared" si="0"/>
        <v>11</v>
      </c>
      <c r="B20" s="11" t="s">
        <v>276</v>
      </c>
      <c r="D20" s="10">
        <f t="shared" si="1"/>
        <v>11</v>
      </c>
      <c r="E20" s="11" t="s">
        <v>275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94</v>
      </c>
      <c r="D21" s="10">
        <f t="shared" si="1"/>
        <v>12</v>
      </c>
      <c r="E21" s="11" t="s">
        <v>269</v>
      </c>
    </row>
    <row r="22" spans="1:11" s="9" customFormat="1" x14ac:dyDescent="0.35">
      <c r="A22" s="10">
        <f t="shared" si="0"/>
        <v>13</v>
      </c>
      <c r="B22" s="11" t="s">
        <v>274</v>
      </c>
      <c r="D22" s="10">
        <f t="shared" si="1"/>
        <v>13</v>
      </c>
      <c r="E22" s="11" t="s">
        <v>265</v>
      </c>
      <c r="H22" s="9" t="s">
        <v>113</v>
      </c>
      <c r="K22" s="11" t="s">
        <v>271</v>
      </c>
    </row>
    <row r="23" spans="1:11" s="9" customFormat="1" x14ac:dyDescent="0.35">
      <c r="A23" s="10">
        <f t="shared" si="0"/>
        <v>14</v>
      </c>
      <c r="B23" s="11" t="s">
        <v>136</v>
      </c>
      <c r="D23" s="10">
        <f t="shared" si="1"/>
        <v>14</v>
      </c>
      <c r="E23" s="11" t="s">
        <v>129</v>
      </c>
      <c r="H23" s="9" t="s">
        <v>116</v>
      </c>
      <c r="K23" s="11" t="s">
        <v>104</v>
      </c>
    </row>
    <row r="24" spans="1:11" s="9" customFormat="1" x14ac:dyDescent="0.35">
      <c r="A24" s="10">
        <f t="shared" si="0"/>
        <v>15</v>
      </c>
      <c r="B24" s="11" t="s">
        <v>273</v>
      </c>
      <c r="D24" s="10">
        <f t="shared" si="1"/>
        <v>15</v>
      </c>
      <c r="E24" s="11" t="s">
        <v>272</v>
      </c>
      <c r="H24" s="9" t="s">
        <v>119</v>
      </c>
      <c r="K24" s="11" t="s">
        <v>271</v>
      </c>
    </row>
    <row r="25" spans="1:11" s="9" customFormat="1" x14ac:dyDescent="0.35">
      <c r="A25" s="10">
        <f t="shared" si="0"/>
        <v>16</v>
      </c>
      <c r="B25" s="11" t="s">
        <v>130</v>
      </c>
      <c r="D25" s="10">
        <f t="shared" si="1"/>
        <v>16</v>
      </c>
      <c r="E25" s="11" t="s">
        <v>102</v>
      </c>
    </row>
    <row r="26" spans="1:11" s="9" customFormat="1" x14ac:dyDescent="0.35">
      <c r="A26" s="10">
        <f t="shared" si="0"/>
        <v>17</v>
      </c>
      <c r="B26" s="11" t="s">
        <v>270</v>
      </c>
      <c r="H26" s="9" t="s">
        <v>122</v>
      </c>
      <c r="K26" s="13">
        <v>281</v>
      </c>
    </row>
    <row r="27" spans="1:11" s="9" customFormat="1" x14ac:dyDescent="0.35">
      <c r="A27" s="10">
        <f t="shared" si="0"/>
        <v>18</v>
      </c>
      <c r="B27" s="11" t="s">
        <v>269</v>
      </c>
      <c r="H27" s="9" t="s">
        <v>124</v>
      </c>
    </row>
    <row r="28" spans="1:11" x14ac:dyDescent="0.35">
      <c r="A28" s="10">
        <f t="shared" si="0"/>
        <v>19</v>
      </c>
      <c r="B28" s="11" t="s">
        <v>268</v>
      </c>
    </row>
    <row r="29" spans="1:11" x14ac:dyDescent="0.35">
      <c r="A29" s="10">
        <f t="shared" si="0"/>
        <v>20</v>
      </c>
      <c r="B29" s="11" t="s">
        <v>267</v>
      </c>
    </row>
    <row r="30" spans="1:11" x14ac:dyDescent="0.35">
      <c r="A30" s="10">
        <f t="shared" si="0"/>
        <v>21</v>
      </c>
      <c r="B30" s="11" t="s">
        <v>105</v>
      </c>
    </row>
    <row r="31" spans="1:11" x14ac:dyDescent="0.35">
      <c r="A31" s="10">
        <f t="shared" si="0"/>
        <v>22</v>
      </c>
      <c r="B31" s="11" t="s">
        <v>129</v>
      </c>
    </row>
    <row r="32" spans="1:11" x14ac:dyDescent="0.35">
      <c r="A32" s="10">
        <f t="shared" si="0"/>
        <v>23</v>
      </c>
      <c r="B32" s="11" t="s">
        <v>266</v>
      </c>
    </row>
    <row r="33" spans="1:2" x14ac:dyDescent="0.35">
      <c r="A33" s="10">
        <f t="shared" si="0"/>
        <v>24</v>
      </c>
      <c r="B33" s="11" t="s">
        <v>265</v>
      </c>
    </row>
    <row r="34" spans="1:2" x14ac:dyDescent="0.35">
      <c r="A34" s="10">
        <f t="shared" si="0"/>
        <v>25</v>
      </c>
      <c r="B34" s="11" t="s">
        <v>264</v>
      </c>
    </row>
    <row r="35" spans="1:2" x14ac:dyDescent="0.35">
      <c r="A35" s="10">
        <f t="shared" si="0"/>
        <v>26</v>
      </c>
      <c r="B35" s="11" t="s">
        <v>98</v>
      </c>
    </row>
    <row r="36" spans="1:2" x14ac:dyDescent="0.35">
      <c r="A36" s="10">
        <f t="shared" si="0"/>
        <v>27</v>
      </c>
      <c r="B36" s="11" t="s">
        <v>263</v>
      </c>
    </row>
    <row r="37" spans="1:2" x14ac:dyDescent="0.35">
      <c r="A37" s="10">
        <f t="shared" si="0"/>
        <v>28</v>
      </c>
      <c r="B37" s="11" t="s">
        <v>262</v>
      </c>
    </row>
    <row r="38" spans="1:2" x14ac:dyDescent="0.35">
      <c r="A38" s="10">
        <f t="shared" si="0"/>
        <v>29</v>
      </c>
      <c r="B38" s="11" t="s">
        <v>139</v>
      </c>
    </row>
    <row r="39" spans="1:2" x14ac:dyDescent="0.35">
      <c r="A39" s="10">
        <f t="shared" si="0"/>
        <v>30</v>
      </c>
      <c r="B39" s="11" t="s">
        <v>261</v>
      </c>
    </row>
    <row r="40" spans="1:2" x14ac:dyDescent="0.35">
      <c r="A40" s="10">
        <f t="shared" si="0"/>
        <v>31</v>
      </c>
      <c r="B40" s="11" t="s">
        <v>107</v>
      </c>
    </row>
    <row r="41" spans="1:2" x14ac:dyDescent="0.35">
      <c r="A41" s="10">
        <f t="shared" si="0"/>
        <v>32</v>
      </c>
      <c r="B41" s="11" t="s">
        <v>260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3D82-83B2-4CD7-B5AA-2C7C794CEBBC}">
  <sheetPr>
    <tabColor theme="8" tint="0.39997558519241921"/>
  </sheetPr>
  <dimension ref="A6:J82"/>
  <sheetViews>
    <sheetView topLeftCell="A70" workbookViewId="0">
      <selection activeCell="J79" sqref="J79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1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0</v>
      </c>
      <c r="F10" s="4">
        <v>1</v>
      </c>
      <c r="G10" s="3" t="s">
        <v>13</v>
      </c>
      <c r="H10" s="2" t="str">
        <f t="shared" si="0"/>
        <v>A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1</v>
      </c>
      <c r="G11" s="3" t="s">
        <v>11</v>
      </c>
      <c r="H11" s="2" t="str">
        <f t="shared" si="0"/>
        <v>D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0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1</v>
      </c>
      <c r="G13" s="3" t="s">
        <v>10</v>
      </c>
      <c r="H13" s="2" t="str">
        <f t="shared" si="0"/>
        <v>D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1</v>
      </c>
      <c r="G14" s="3" t="s">
        <v>12</v>
      </c>
      <c r="H14" s="2" t="str">
        <f t="shared" si="0"/>
        <v>D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1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2</v>
      </c>
      <c r="F19" s="4">
        <v>1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1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1</v>
      </c>
      <c r="G22" s="3" t="s">
        <v>27</v>
      </c>
      <c r="H22" s="2" t="str">
        <f t="shared" si="0"/>
        <v>A</v>
      </c>
      <c r="J22">
        <v>3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3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2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1</v>
      </c>
      <c r="F27" s="4">
        <v>0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0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2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0</v>
      </c>
      <c r="F34" s="4">
        <v>0</v>
      </c>
      <c r="G34" s="3" t="s">
        <v>40</v>
      </c>
      <c r="H34" s="2" t="str">
        <f t="shared" si="0"/>
        <v>D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1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1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0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1</v>
      </c>
      <c r="F38" s="4">
        <v>2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1</v>
      </c>
      <c r="F39" s="4">
        <v>1</v>
      </c>
      <c r="G39" s="3" t="s">
        <v>44</v>
      </c>
      <c r="H39" s="2" t="str">
        <f t="shared" si="0"/>
        <v>D</v>
      </c>
      <c r="J39">
        <v>1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1</v>
      </c>
      <c r="G40" s="3" t="s">
        <v>46</v>
      </c>
      <c r="H40" s="2" t="str">
        <f t="shared" si="0"/>
        <v>D</v>
      </c>
      <c r="J40">
        <v>0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1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1</v>
      </c>
      <c r="G43" s="3" t="s">
        <v>45</v>
      </c>
      <c r="H43" s="2" t="str">
        <f t="shared" si="1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1</v>
      </c>
      <c r="F44" s="4">
        <v>2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2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0</v>
      </c>
      <c r="F49" s="4">
        <v>0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2</v>
      </c>
      <c r="F55" s="4">
        <v>1</v>
      </c>
      <c r="G55" s="3" t="s">
        <v>58</v>
      </c>
      <c r="H55" s="2" t="str">
        <f t="shared" si="1"/>
        <v>H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1</v>
      </c>
      <c r="G56" s="3" t="s">
        <v>56</v>
      </c>
      <c r="H56" s="2" t="str">
        <f t="shared" si="1"/>
        <v>D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0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2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1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1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1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2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1</v>
      </c>
      <c r="G67" s="3" t="s">
        <v>70</v>
      </c>
      <c r="H67" s="2" t="str">
        <f t="shared" si="1"/>
        <v>D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2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2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0</v>
      </c>
      <c r="F70" s="4">
        <v>1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0</v>
      </c>
      <c r="F74" s="4">
        <v>0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0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1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2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1</v>
      </c>
      <c r="G80" s="3" t="s">
        <v>83</v>
      </c>
      <c r="H80" s="2" t="str">
        <f t="shared" si="2"/>
        <v>D</v>
      </c>
      <c r="J80" s="54"/>
    </row>
    <row r="82" spans="10:10" x14ac:dyDescent="0.35">
      <c r="J82">
        <f>SUM(J8:J80)</f>
        <v>14</v>
      </c>
    </row>
  </sheetData>
  <pageMargins left="0.75" right="0.75" top="1" bottom="1" header="0.5" footer="0.5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1EEC-A0AF-464A-9AA3-96F46BEEAA22}">
  <sheetPr>
    <tabColor theme="8" tint="0.39997558519241921"/>
  </sheetPr>
  <dimension ref="A5:S42"/>
  <sheetViews>
    <sheetView topLeftCell="A8" workbookViewId="0">
      <selection activeCell="I23" sqref="I23"/>
    </sheetView>
  </sheetViews>
  <sheetFormatPr defaultColWidth="8.7265625" defaultRowHeight="14.5" x14ac:dyDescent="0.35"/>
  <cols>
    <col min="1" max="1" width="3.26953125" customWidth="1"/>
    <col min="2" max="2" width="20.54296875" customWidth="1"/>
    <col min="3" max="3" width="1.7265625" customWidth="1"/>
    <col min="4" max="4" width="3.26953125" customWidth="1"/>
    <col min="5" max="5" width="20.54296875" customWidth="1"/>
    <col min="6" max="6" width="1.7265625" customWidth="1"/>
    <col min="7" max="7" width="3.26953125" customWidth="1"/>
    <col min="8" max="8" width="20.54296875" customWidth="1"/>
    <col min="9" max="9" width="1.7265625" customWidth="1"/>
    <col min="10" max="10" width="3.26953125" customWidth="1"/>
    <col min="11" max="11" width="20.54296875" customWidth="1"/>
    <col min="12" max="12" width="1.7265625" customWidth="1"/>
    <col min="13" max="13" width="3.26953125" customWidth="1"/>
    <col min="14" max="14" width="20.54296875" customWidth="1"/>
    <col min="15" max="15" width="1.7265625" customWidth="1"/>
    <col min="16" max="16" width="3.26953125" customWidth="1"/>
    <col min="17" max="17" width="20.54296875" customWidth="1"/>
  </cols>
  <sheetData>
    <row r="5" spans="1:19" x14ac:dyDescent="0.35">
      <c r="P5" s="5"/>
    </row>
    <row r="8" spans="1:19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9" s="9" customFormat="1" ht="15.5" x14ac:dyDescent="0.35">
      <c r="S9" s="8"/>
    </row>
    <row r="10" spans="1:19" s="9" customFormat="1" ht="15.5" x14ac:dyDescent="0.35">
      <c r="A10" s="10">
        <v>1</v>
      </c>
      <c r="B10" s="11" t="s">
        <v>10</v>
      </c>
      <c r="D10" s="10">
        <v>1</v>
      </c>
      <c r="E10" s="11" t="s">
        <v>13</v>
      </c>
      <c r="G10" s="10">
        <v>1</v>
      </c>
      <c r="H10" s="11" t="s">
        <v>62</v>
      </c>
      <c r="J10" s="10">
        <v>1</v>
      </c>
      <c r="K10" s="11" t="s">
        <v>62</v>
      </c>
      <c r="M10" s="10">
        <v>1</v>
      </c>
      <c r="N10" s="11" t="s">
        <v>56</v>
      </c>
      <c r="P10" s="10">
        <v>1</v>
      </c>
      <c r="Q10" s="11" t="s">
        <v>56</v>
      </c>
      <c r="S10" s="8"/>
    </row>
    <row r="11" spans="1:19" s="9" customFormat="1" ht="15.5" x14ac:dyDescent="0.35">
      <c r="A11" s="10">
        <f t="shared" ref="A11:A41" si="0">A10+1</f>
        <v>2</v>
      </c>
      <c r="B11" s="11" t="s">
        <v>13</v>
      </c>
      <c r="D11" s="10">
        <f t="shared" ref="D11:D25" si="1">D10+1</f>
        <v>2</v>
      </c>
      <c r="E11" s="11" t="s">
        <v>37</v>
      </c>
      <c r="G11" s="10">
        <f t="shared" ref="G11:G17" si="2">G10+1</f>
        <v>2</v>
      </c>
      <c r="H11" s="11" t="s">
        <v>43</v>
      </c>
      <c r="J11" s="10">
        <f>J10+1</f>
        <v>2</v>
      </c>
      <c r="K11" s="11" t="s">
        <v>56</v>
      </c>
      <c r="M11" s="10">
        <f>M10+1</f>
        <v>2</v>
      </c>
      <c r="N11" s="11" t="s">
        <v>75</v>
      </c>
      <c r="S11" s="8"/>
    </row>
    <row r="12" spans="1:19" s="9" customFormat="1" ht="15.5" x14ac:dyDescent="0.35">
      <c r="A12" s="10">
        <f t="shared" si="0"/>
        <v>3</v>
      </c>
      <c r="B12" s="11" t="s">
        <v>22</v>
      </c>
      <c r="D12" s="10">
        <f t="shared" si="1"/>
        <v>3</v>
      </c>
      <c r="E12" s="11" t="s">
        <v>43</v>
      </c>
      <c r="G12" s="10">
        <f t="shared" si="2"/>
        <v>3</v>
      </c>
      <c r="H12" s="11" t="s">
        <v>65</v>
      </c>
      <c r="J12" s="10">
        <f>J11+1</f>
        <v>3</v>
      </c>
      <c r="K12" s="11" t="s">
        <v>65</v>
      </c>
      <c r="S12" s="8"/>
    </row>
    <row r="13" spans="1:19" s="9" customFormat="1" ht="15.5" x14ac:dyDescent="0.35">
      <c r="A13" s="10">
        <f t="shared" si="0"/>
        <v>4</v>
      </c>
      <c r="B13" s="11" t="s">
        <v>18</v>
      </c>
      <c r="D13" s="10">
        <f t="shared" si="1"/>
        <v>4</v>
      </c>
      <c r="E13" s="11" t="s">
        <v>24</v>
      </c>
      <c r="G13" s="10">
        <f t="shared" si="2"/>
        <v>4</v>
      </c>
      <c r="H13" s="11" t="s">
        <v>81</v>
      </c>
      <c r="J13" s="10">
        <f>J12+1</f>
        <v>4</v>
      </c>
      <c r="K13" s="11" t="s">
        <v>75</v>
      </c>
      <c r="S13" s="8"/>
    </row>
    <row r="14" spans="1:19" s="9" customFormat="1" ht="15.5" x14ac:dyDescent="0.35">
      <c r="A14" s="10">
        <f t="shared" si="0"/>
        <v>5</v>
      </c>
      <c r="B14" s="11" t="s">
        <v>24</v>
      </c>
      <c r="D14" s="10">
        <f t="shared" si="1"/>
        <v>5</v>
      </c>
      <c r="E14" s="11" t="s">
        <v>62</v>
      </c>
      <c r="G14" s="10">
        <f t="shared" si="2"/>
        <v>5</v>
      </c>
      <c r="H14" s="11" t="s">
        <v>56</v>
      </c>
      <c r="S14" s="8"/>
    </row>
    <row r="15" spans="1:19" s="9" customFormat="1" ht="15.5" x14ac:dyDescent="0.35">
      <c r="A15" s="10">
        <f t="shared" si="0"/>
        <v>6</v>
      </c>
      <c r="B15" s="11" t="s">
        <v>25</v>
      </c>
      <c r="D15" s="10">
        <f t="shared" si="1"/>
        <v>6</v>
      </c>
      <c r="E15" s="11" t="s">
        <v>65</v>
      </c>
      <c r="G15" s="10">
        <f t="shared" si="2"/>
        <v>6</v>
      </c>
      <c r="H15" s="11" t="s">
        <v>49</v>
      </c>
      <c r="S15" s="8"/>
    </row>
    <row r="16" spans="1:19" s="9" customFormat="1" ht="15.5" x14ac:dyDescent="0.35">
      <c r="A16" s="10">
        <f t="shared" si="0"/>
        <v>7</v>
      </c>
      <c r="B16" s="11" t="s">
        <v>30</v>
      </c>
      <c r="D16" s="10">
        <f t="shared" si="1"/>
        <v>7</v>
      </c>
      <c r="E16" s="11" t="s">
        <v>10</v>
      </c>
      <c r="G16" s="10">
        <f t="shared" si="2"/>
        <v>7</v>
      </c>
      <c r="H16" s="11" t="s">
        <v>68</v>
      </c>
      <c r="S16" s="8"/>
    </row>
    <row r="17" spans="1:19" s="9" customFormat="1" ht="15.5" x14ac:dyDescent="0.35">
      <c r="A17" s="10">
        <f t="shared" si="0"/>
        <v>8</v>
      </c>
      <c r="B17" s="11" t="s">
        <v>33</v>
      </c>
      <c r="D17" s="10">
        <f t="shared" si="1"/>
        <v>8</v>
      </c>
      <c r="E17" s="11" t="s">
        <v>81</v>
      </c>
      <c r="G17" s="10">
        <f t="shared" si="2"/>
        <v>8</v>
      </c>
      <c r="H17" s="11" t="s">
        <v>75</v>
      </c>
      <c r="S17" s="8"/>
    </row>
    <row r="18" spans="1:19" s="9" customFormat="1" ht="15.5" x14ac:dyDescent="0.35">
      <c r="A18" s="10">
        <f t="shared" si="0"/>
        <v>9</v>
      </c>
      <c r="B18" s="11" t="s">
        <v>37</v>
      </c>
      <c r="D18" s="10">
        <f t="shared" si="1"/>
        <v>9</v>
      </c>
      <c r="E18" s="11" t="s">
        <v>30</v>
      </c>
      <c r="S18" s="8"/>
    </row>
    <row r="19" spans="1:19" s="9" customFormat="1" ht="15.5" x14ac:dyDescent="0.35">
      <c r="A19" s="10">
        <f t="shared" si="0"/>
        <v>10</v>
      </c>
      <c r="B19" s="11" t="s">
        <v>39</v>
      </c>
      <c r="D19" s="10">
        <f t="shared" si="1"/>
        <v>10</v>
      </c>
      <c r="E19" s="11" t="s">
        <v>49</v>
      </c>
      <c r="S19" s="8"/>
    </row>
    <row r="20" spans="1:19" s="9" customFormat="1" ht="15.5" x14ac:dyDescent="0.35">
      <c r="A20" s="10">
        <f t="shared" si="0"/>
        <v>11</v>
      </c>
      <c r="B20" s="11" t="s">
        <v>43</v>
      </c>
      <c r="D20" s="10">
        <f t="shared" si="1"/>
        <v>11</v>
      </c>
      <c r="E20" s="11" t="s">
        <v>82</v>
      </c>
      <c r="H20" s="12" t="s">
        <v>110</v>
      </c>
      <c r="S20" s="8"/>
    </row>
    <row r="21" spans="1:19" s="9" customFormat="1" ht="15.5" x14ac:dyDescent="0.35">
      <c r="A21" s="10">
        <f t="shared" si="0"/>
        <v>12</v>
      </c>
      <c r="B21" s="11" t="s">
        <v>44</v>
      </c>
      <c r="D21" s="10">
        <f t="shared" si="1"/>
        <v>12</v>
      </c>
      <c r="E21" s="11" t="s">
        <v>56</v>
      </c>
      <c r="S21" s="8"/>
    </row>
    <row r="22" spans="1:19" s="9" customFormat="1" ht="15.5" x14ac:dyDescent="0.35">
      <c r="A22" s="10">
        <f t="shared" si="0"/>
        <v>13</v>
      </c>
      <c r="B22" s="11" t="s">
        <v>49</v>
      </c>
      <c r="D22" s="10">
        <f t="shared" si="1"/>
        <v>13</v>
      </c>
      <c r="E22" s="11" t="s">
        <v>22</v>
      </c>
      <c r="H22" s="9" t="s">
        <v>113</v>
      </c>
      <c r="K22" s="11" t="s">
        <v>285</v>
      </c>
      <c r="S22" s="8"/>
    </row>
    <row r="23" spans="1:19" s="9" customFormat="1" ht="15.5" x14ac:dyDescent="0.35">
      <c r="A23" s="10">
        <f t="shared" si="0"/>
        <v>14</v>
      </c>
      <c r="B23" s="11" t="s">
        <v>50</v>
      </c>
      <c r="D23" s="10">
        <f t="shared" si="1"/>
        <v>14</v>
      </c>
      <c r="E23" s="11" t="s">
        <v>68</v>
      </c>
      <c r="H23" s="9" t="s">
        <v>116</v>
      </c>
      <c r="K23" s="11" t="s">
        <v>21</v>
      </c>
      <c r="S23" s="8"/>
    </row>
    <row r="24" spans="1:19" s="9" customFormat="1" ht="15.5" x14ac:dyDescent="0.35">
      <c r="A24" s="10">
        <f t="shared" si="0"/>
        <v>15</v>
      </c>
      <c r="B24" s="11" t="s">
        <v>56</v>
      </c>
      <c r="D24" s="10">
        <f t="shared" si="1"/>
        <v>15</v>
      </c>
      <c r="E24" s="11" t="s">
        <v>75</v>
      </c>
      <c r="H24" s="9" t="s">
        <v>119</v>
      </c>
      <c r="K24" s="11" t="s">
        <v>140</v>
      </c>
      <c r="S24" s="8"/>
    </row>
    <row r="25" spans="1:19" s="9" customFormat="1" ht="15.5" x14ac:dyDescent="0.35">
      <c r="A25" s="10">
        <f t="shared" si="0"/>
        <v>16</v>
      </c>
      <c r="B25" s="11" t="s">
        <v>59</v>
      </c>
      <c r="D25" s="10">
        <f t="shared" si="1"/>
        <v>16</v>
      </c>
      <c r="E25" s="11" t="s">
        <v>33</v>
      </c>
      <c r="S25" s="8"/>
    </row>
    <row r="26" spans="1:19" s="9" customFormat="1" x14ac:dyDescent="0.35">
      <c r="A26" s="10">
        <f t="shared" si="0"/>
        <v>17</v>
      </c>
      <c r="B26" s="11" t="s">
        <v>62</v>
      </c>
      <c r="H26" s="9" t="s">
        <v>122</v>
      </c>
      <c r="K26" s="13">
        <v>297</v>
      </c>
    </row>
    <row r="27" spans="1:19" s="9" customFormat="1" x14ac:dyDescent="0.35">
      <c r="A27" s="10">
        <f t="shared" si="0"/>
        <v>18</v>
      </c>
      <c r="B27" s="11" t="s">
        <v>65</v>
      </c>
      <c r="H27" s="9" t="s">
        <v>124</v>
      </c>
    </row>
    <row r="28" spans="1:19" x14ac:dyDescent="0.35">
      <c r="A28" s="10">
        <f t="shared" si="0"/>
        <v>19</v>
      </c>
      <c r="B28" s="11" t="s">
        <v>68</v>
      </c>
    </row>
    <row r="29" spans="1:19" x14ac:dyDescent="0.35">
      <c r="A29" s="10">
        <f t="shared" si="0"/>
        <v>20</v>
      </c>
      <c r="B29" s="11" t="s">
        <v>70</v>
      </c>
    </row>
    <row r="30" spans="1:19" x14ac:dyDescent="0.35">
      <c r="A30" s="10">
        <f t="shared" si="0"/>
        <v>21</v>
      </c>
      <c r="B30" s="11" t="s">
        <v>75</v>
      </c>
    </row>
    <row r="31" spans="1:19" x14ac:dyDescent="0.35">
      <c r="A31" s="10">
        <f t="shared" si="0"/>
        <v>22</v>
      </c>
      <c r="B31" s="11" t="s">
        <v>78</v>
      </c>
    </row>
    <row r="32" spans="1:19" x14ac:dyDescent="0.35">
      <c r="A32" s="10">
        <f t="shared" si="0"/>
        <v>23</v>
      </c>
      <c r="B32" s="11" t="s">
        <v>81</v>
      </c>
    </row>
    <row r="33" spans="1:2" x14ac:dyDescent="0.35">
      <c r="A33" s="10">
        <f t="shared" si="0"/>
        <v>24</v>
      </c>
      <c r="B33" s="11" t="s">
        <v>82</v>
      </c>
    </row>
    <row r="34" spans="1:2" x14ac:dyDescent="0.35">
      <c r="A34" s="10">
        <f t="shared" si="0"/>
        <v>25</v>
      </c>
      <c r="B34" s="11" t="s">
        <v>83</v>
      </c>
    </row>
    <row r="35" spans="1:2" x14ac:dyDescent="0.35">
      <c r="A35" s="10">
        <f t="shared" si="0"/>
        <v>26</v>
      </c>
      <c r="B35" s="11" t="s">
        <v>69</v>
      </c>
    </row>
    <row r="36" spans="1:2" x14ac:dyDescent="0.35">
      <c r="A36" s="10">
        <f t="shared" si="0"/>
        <v>27</v>
      </c>
      <c r="B36" s="11" t="s">
        <v>51</v>
      </c>
    </row>
    <row r="37" spans="1:2" x14ac:dyDescent="0.35">
      <c r="A37" s="10">
        <f t="shared" si="0"/>
        <v>28</v>
      </c>
      <c r="B37" s="11" t="s">
        <v>40</v>
      </c>
    </row>
    <row r="38" spans="1:2" x14ac:dyDescent="0.35">
      <c r="A38" s="10">
        <f t="shared" si="0"/>
        <v>29</v>
      </c>
      <c r="B38" s="11" t="s">
        <v>19</v>
      </c>
    </row>
    <row r="39" spans="1:2" x14ac:dyDescent="0.35">
      <c r="A39" s="10">
        <f t="shared" si="0"/>
        <v>30</v>
      </c>
      <c r="B39" s="11" t="s">
        <v>27</v>
      </c>
    </row>
    <row r="40" spans="1:2" x14ac:dyDescent="0.35">
      <c r="A40" s="10">
        <f t="shared" si="0"/>
        <v>31</v>
      </c>
      <c r="B40" s="11" t="s">
        <v>63</v>
      </c>
    </row>
    <row r="41" spans="1:2" x14ac:dyDescent="0.35">
      <c r="A41" s="10">
        <f t="shared" si="0"/>
        <v>32</v>
      </c>
      <c r="B41" s="11" t="s">
        <v>57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3391-5006-40E4-9BA5-39A42CEF7055}">
  <sheetPr>
    <tabColor theme="8" tint="0.39997558519241921"/>
  </sheetPr>
  <dimension ref="A6:J82"/>
  <sheetViews>
    <sheetView topLeftCell="A66" workbookViewId="0">
      <selection activeCell="J84" sqref="J84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3</v>
      </c>
      <c r="F10" s="4">
        <v>1</v>
      </c>
      <c r="G10" s="3" t="s">
        <v>13</v>
      </c>
      <c r="H10" s="2" t="str">
        <f t="shared" si="0"/>
        <v>H</v>
      </c>
      <c r="J10">
        <v>1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1</v>
      </c>
      <c r="G12" s="3" t="s">
        <v>12</v>
      </c>
      <c r="H12" s="2" t="str">
        <f t="shared" si="0"/>
        <v>D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0</v>
      </c>
      <c r="F13" s="4">
        <v>2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2</v>
      </c>
      <c r="F14" s="4">
        <v>4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4</v>
      </c>
      <c r="F15" s="4">
        <v>1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2</v>
      </c>
      <c r="F16" s="4">
        <v>2</v>
      </c>
      <c r="G16" s="3" t="s">
        <v>22</v>
      </c>
      <c r="H16" s="2" t="str">
        <f t="shared" si="0"/>
        <v>D</v>
      </c>
      <c r="J16">
        <v>1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3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0</v>
      </c>
      <c r="F19" s="4">
        <v>0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1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0</v>
      </c>
      <c r="F21" s="4">
        <v>3</v>
      </c>
      <c r="G21" s="3" t="s">
        <v>25</v>
      </c>
      <c r="H21" s="2" t="str">
        <f t="shared" si="0"/>
        <v>A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1</v>
      </c>
      <c r="F22" s="4">
        <v>3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0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2</v>
      </c>
      <c r="F24" s="4">
        <v>1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0</v>
      </c>
      <c r="F25" s="4">
        <v>0</v>
      </c>
      <c r="G25" s="3" t="s">
        <v>24</v>
      </c>
      <c r="H25" s="2" t="str">
        <f t="shared" si="0"/>
        <v>D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4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0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4</v>
      </c>
      <c r="F29" s="4">
        <v>2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3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2</v>
      </c>
      <c r="G31" s="3" t="s">
        <v>30</v>
      </c>
      <c r="H31" s="2" t="str">
        <f t="shared" si="0"/>
        <v>A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0</v>
      </c>
      <c r="G32" s="3" t="s">
        <v>32</v>
      </c>
      <c r="H32" s="2" t="str">
        <f t="shared" si="0"/>
        <v>H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1</v>
      </c>
      <c r="F33" s="4">
        <v>1</v>
      </c>
      <c r="G33" s="3" t="s">
        <v>38</v>
      </c>
      <c r="H33" s="2" t="str">
        <f t="shared" si="0"/>
        <v>D</v>
      </c>
      <c r="J33">
        <v>0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4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5</v>
      </c>
      <c r="F35" s="4">
        <v>2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2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2</v>
      </c>
      <c r="F37" s="4">
        <v>1</v>
      </c>
      <c r="G37" s="3" t="s">
        <v>37</v>
      </c>
      <c r="H37" s="2" t="str">
        <f t="shared" si="0"/>
        <v>H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3</v>
      </c>
      <c r="F38" s="4">
        <v>0</v>
      </c>
      <c r="G38" s="3" t="s">
        <v>39</v>
      </c>
      <c r="H38" s="2" t="str">
        <f t="shared" si="0"/>
        <v>H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1</v>
      </c>
      <c r="F39" s="4">
        <v>2</v>
      </c>
      <c r="G39" s="3" t="s">
        <v>44</v>
      </c>
      <c r="H39" s="2" t="str">
        <f t="shared" si="0"/>
        <v>A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2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3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4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1</v>
      </c>
      <c r="G43" s="3" t="s">
        <v>45</v>
      </c>
      <c r="H43" s="2" t="str">
        <f t="shared" si="1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1</v>
      </c>
      <c r="F44" s="4">
        <v>3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2</v>
      </c>
      <c r="G45" s="3" t="s">
        <v>50</v>
      </c>
      <c r="H45" s="2" t="str">
        <f t="shared" si="1"/>
        <v>D</v>
      </c>
      <c r="J45">
        <v>1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0</v>
      </c>
      <c r="F46" s="4">
        <v>1</v>
      </c>
      <c r="G46" s="3" t="s">
        <v>52</v>
      </c>
      <c r="H46" s="2" t="str">
        <f t="shared" si="1"/>
        <v>A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1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2</v>
      </c>
      <c r="F48" s="4">
        <v>2</v>
      </c>
      <c r="G48" s="3" t="s">
        <v>50</v>
      </c>
      <c r="H48" s="2" t="str">
        <f t="shared" si="1"/>
        <v>D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2</v>
      </c>
      <c r="F49" s="4">
        <v>0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1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4</v>
      </c>
      <c r="F51" s="4">
        <v>1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3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4</v>
      </c>
      <c r="F54" s="4">
        <v>1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0</v>
      </c>
      <c r="F55" s="4">
        <v>0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2</v>
      </c>
      <c r="F56" s="4">
        <v>3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4</v>
      </c>
      <c r="F57" s="4">
        <v>0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1</v>
      </c>
      <c r="F58" s="4">
        <v>1</v>
      </c>
      <c r="G58" s="3" t="s">
        <v>65</v>
      </c>
      <c r="H58" s="2" t="str">
        <f t="shared" si="1"/>
        <v>D</v>
      </c>
      <c r="J58">
        <v>0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4</v>
      </c>
      <c r="F59" s="4">
        <v>1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1</v>
      </c>
      <c r="F60" s="4">
        <v>3</v>
      </c>
      <c r="G60" s="3" t="s">
        <v>63</v>
      </c>
      <c r="H60" s="2" t="str">
        <f t="shared" si="1"/>
        <v>A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0</v>
      </c>
      <c r="F61" s="4">
        <v>2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1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0</v>
      </c>
      <c r="F64" s="4">
        <v>0</v>
      </c>
      <c r="G64" s="3" t="s">
        <v>71</v>
      </c>
      <c r="H64" s="2" t="str">
        <f t="shared" si="1"/>
        <v>D</v>
      </c>
      <c r="J64">
        <v>0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3</v>
      </c>
      <c r="F65" s="4">
        <v>0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2</v>
      </c>
      <c r="F66" s="4">
        <v>2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2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3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0</v>
      </c>
      <c r="F70" s="4">
        <v>2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3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1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2</v>
      </c>
      <c r="F73" s="4">
        <v>4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1</v>
      </c>
      <c r="F75" s="4">
        <v>2</v>
      </c>
      <c r="G75" s="3" t="s">
        <v>82</v>
      </c>
      <c r="H75" s="2" t="str">
        <f t="shared" si="2"/>
        <v>A</v>
      </c>
      <c r="J75">
        <v>0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1</v>
      </c>
      <c r="F76" s="4">
        <v>0</v>
      </c>
      <c r="G76" s="3" t="s">
        <v>84</v>
      </c>
      <c r="H76" s="2" t="str">
        <f t="shared" si="2"/>
        <v>H</v>
      </c>
      <c r="J76">
        <v>3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3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4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2</v>
      </c>
      <c r="G80" s="3" t="s">
        <v>83</v>
      </c>
      <c r="H80" s="2" t="str">
        <f t="shared" si="2"/>
        <v>D</v>
      </c>
      <c r="J80" s="54"/>
    </row>
    <row r="82" spans="10:10" x14ac:dyDescent="0.35">
      <c r="J82">
        <f>SUM(J8:J80)</f>
        <v>15</v>
      </c>
    </row>
  </sheetData>
  <pageMargins left="0.75" right="0.75" top="1" bottom="1" header="0.5" footer="0.5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D941-13DC-46A4-AA12-C8DFE0B9AF8F}">
  <sheetPr>
    <tabColor theme="8" tint="0.39997558519241921"/>
  </sheetPr>
  <dimension ref="A5:Q42"/>
  <sheetViews>
    <sheetView topLeftCell="A18" workbookViewId="0">
      <selection activeCell="G35" sqref="G35"/>
    </sheetView>
  </sheetViews>
  <sheetFormatPr defaultColWidth="8.7265625" defaultRowHeight="14.5" x14ac:dyDescent="0.35"/>
  <cols>
    <col min="1" max="1" width="3.26953125" customWidth="1"/>
    <col min="2" max="2" width="20.54296875" customWidth="1"/>
    <col min="3" max="3" width="1.7265625" customWidth="1"/>
    <col min="4" max="4" width="3.26953125" customWidth="1"/>
    <col min="5" max="5" width="20.54296875" customWidth="1"/>
    <col min="6" max="6" width="1.7265625" customWidth="1"/>
    <col min="7" max="7" width="3.26953125" customWidth="1"/>
    <col min="8" max="8" width="20.54296875" customWidth="1"/>
    <col min="9" max="9" width="1.7265625" customWidth="1"/>
    <col min="10" max="10" width="3.26953125" customWidth="1"/>
    <col min="11" max="11" width="20.54296875" customWidth="1"/>
    <col min="12" max="12" width="1.7265625" customWidth="1"/>
    <col min="13" max="13" width="3.26953125" customWidth="1"/>
    <col min="14" max="14" width="20.54296875" customWidth="1"/>
    <col min="15" max="15" width="1.7265625" customWidth="1"/>
    <col min="16" max="16" width="3.26953125" customWidth="1"/>
    <col min="17" max="17" width="20.5429687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306</v>
      </c>
      <c r="D10" s="10">
        <v>1</v>
      </c>
      <c r="E10" s="11" t="s">
        <v>306</v>
      </c>
      <c r="G10" s="10">
        <v>1</v>
      </c>
      <c r="H10" s="11" t="s">
        <v>148</v>
      </c>
      <c r="J10" s="10">
        <v>1</v>
      </c>
      <c r="K10" s="11" t="s">
        <v>148</v>
      </c>
      <c r="M10" s="10">
        <v>1</v>
      </c>
      <c r="N10" s="11" t="s">
        <v>306</v>
      </c>
      <c r="P10" s="10">
        <v>1</v>
      </c>
      <c r="Q10" s="11" t="s">
        <v>306</v>
      </c>
    </row>
    <row r="11" spans="1:17" s="9" customFormat="1" x14ac:dyDescent="0.35">
      <c r="A11" s="10">
        <f t="shared" ref="A11:A41" si="0">A10+1</f>
        <v>2</v>
      </c>
      <c r="B11" s="11" t="s">
        <v>157</v>
      </c>
      <c r="D11" s="10">
        <f t="shared" ref="D11:D25" si="1">D10+1</f>
        <v>2</v>
      </c>
      <c r="E11" s="11" t="s">
        <v>305</v>
      </c>
      <c r="G11" s="10">
        <f t="shared" ref="G11:G17" si="2">G10+1</f>
        <v>2</v>
      </c>
      <c r="H11" s="11" t="s">
        <v>157</v>
      </c>
      <c r="J11" s="10">
        <f>J10+1</f>
        <v>2</v>
      </c>
      <c r="K11" s="11" t="s">
        <v>157</v>
      </c>
      <c r="M11" s="10">
        <f>M10+1</f>
        <v>2</v>
      </c>
      <c r="N11" s="11" t="s">
        <v>305</v>
      </c>
    </row>
    <row r="12" spans="1:17" s="9" customFormat="1" x14ac:dyDescent="0.35">
      <c r="A12" s="10">
        <f t="shared" si="0"/>
        <v>3</v>
      </c>
      <c r="B12" s="11" t="s">
        <v>295</v>
      </c>
      <c r="D12" s="10">
        <f t="shared" si="1"/>
        <v>3</v>
      </c>
      <c r="E12" s="11" t="s">
        <v>162</v>
      </c>
      <c r="G12" s="10">
        <f t="shared" si="2"/>
        <v>3</v>
      </c>
      <c r="H12" s="11" t="s">
        <v>162</v>
      </c>
      <c r="J12" s="10">
        <f>J11+1</f>
        <v>3</v>
      </c>
      <c r="K12" s="11" t="s">
        <v>44</v>
      </c>
    </row>
    <row r="13" spans="1:17" s="9" customFormat="1" x14ac:dyDescent="0.35">
      <c r="A13" s="10">
        <f t="shared" si="0"/>
        <v>4</v>
      </c>
      <c r="B13" s="11" t="s">
        <v>304</v>
      </c>
      <c r="D13" s="10">
        <f t="shared" si="1"/>
        <v>4</v>
      </c>
      <c r="E13" s="11" t="s">
        <v>44</v>
      </c>
      <c r="G13" s="10">
        <f t="shared" si="2"/>
        <v>4</v>
      </c>
      <c r="H13" s="11" t="s">
        <v>141</v>
      </c>
      <c r="J13" s="10">
        <f>J12+1</f>
        <v>4</v>
      </c>
      <c r="K13" s="11" t="s">
        <v>303</v>
      </c>
    </row>
    <row r="14" spans="1:17" s="9" customFormat="1" x14ac:dyDescent="0.35">
      <c r="A14" s="10">
        <f t="shared" si="0"/>
        <v>5</v>
      </c>
      <c r="B14" s="11" t="s">
        <v>10</v>
      </c>
      <c r="D14" s="10">
        <f t="shared" si="1"/>
        <v>5</v>
      </c>
      <c r="E14" s="11" t="s">
        <v>75</v>
      </c>
      <c r="G14" s="10">
        <f t="shared" si="2"/>
        <v>5</v>
      </c>
      <c r="H14" s="11" t="s">
        <v>217</v>
      </c>
    </row>
    <row r="15" spans="1:17" s="9" customFormat="1" x14ac:dyDescent="0.35">
      <c r="A15" s="10">
        <f t="shared" si="0"/>
        <v>6</v>
      </c>
      <c r="B15" s="11" t="s">
        <v>302</v>
      </c>
      <c r="D15" s="10">
        <f t="shared" si="1"/>
        <v>6</v>
      </c>
      <c r="E15" s="11" t="s">
        <v>298</v>
      </c>
      <c r="G15" s="10">
        <f t="shared" si="2"/>
        <v>6</v>
      </c>
      <c r="H15" s="11" t="s">
        <v>44</v>
      </c>
    </row>
    <row r="16" spans="1:17" s="9" customFormat="1" x14ac:dyDescent="0.35">
      <c r="A16" s="10">
        <f t="shared" si="0"/>
        <v>7</v>
      </c>
      <c r="B16" s="11" t="s">
        <v>169</v>
      </c>
      <c r="D16" s="10">
        <f t="shared" si="1"/>
        <v>7</v>
      </c>
      <c r="E16" s="11" t="s">
        <v>151</v>
      </c>
      <c r="G16" s="10">
        <f t="shared" si="2"/>
        <v>7</v>
      </c>
      <c r="H16" s="11" t="s">
        <v>295</v>
      </c>
    </row>
    <row r="17" spans="1:11" s="9" customFormat="1" x14ac:dyDescent="0.35">
      <c r="A17" s="10">
        <f t="shared" si="0"/>
        <v>8</v>
      </c>
      <c r="B17" s="11" t="s">
        <v>162</v>
      </c>
      <c r="D17" s="10">
        <f t="shared" si="1"/>
        <v>8</v>
      </c>
      <c r="E17" s="11" t="s">
        <v>30</v>
      </c>
      <c r="G17" s="10">
        <f t="shared" si="2"/>
        <v>8</v>
      </c>
      <c r="H17" s="11" t="s">
        <v>301</v>
      </c>
    </row>
    <row r="18" spans="1:11" s="9" customFormat="1" x14ac:dyDescent="0.35">
      <c r="A18" s="10">
        <f t="shared" si="0"/>
        <v>9</v>
      </c>
      <c r="B18" s="11" t="s">
        <v>300</v>
      </c>
      <c r="D18" s="10">
        <f t="shared" si="1"/>
        <v>9</v>
      </c>
      <c r="E18" s="11" t="s">
        <v>146</v>
      </c>
    </row>
    <row r="19" spans="1:11" s="9" customFormat="1" x14ac:dyDescent="0.35">
      <c r="A19" s="10">
        <f t="shared" si="0"/>
        <v>10</v>
      </c>
      <c r="B19" s="11" t="s">
        <v>292</v>
      </c>
      <c r="D19" s="10">
        <f t="shared" si="1"/>
        <v>10</v>
      </c>
      <c r="E19" s="11" t="s">
        <v>141</v>
      </c>
    </row>
    <row r="20" spans="1:11" s="9" customFormat="1" x14ac:dyDescent="0.35">
      <c r="A20" s="10">
        <f t="shared" si="0"/>
        <v>11</v>
      </c>
      <c r="B20" s="11" t="s">
        <v>30</v>
      </c>
      <c r="D20" s="10">
        <f t="shared" si="1"/>
        <v>11</v>
      </c>
      <c r="E20" s="11" t="s">
        <v>165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33</v>
      </c>
      <c r="D21" s="10">
        <f t="shared" si="1"/>
        <v>12</v>
      </c>
      <c r="E21" s="11" t="s">
        <v>299</v>
      </c>
    </row>
    <row r="22" spans="1:11" s="9" customFormat="1" x14ac:dyDescent="0.35">
      <c r="A22" s="10">
        <f t="shared" si="0"/>
        <v>13</v>
      </c>
      <c r="B22" s="11" t="s">
        <v>298</v>
      </c>
      <c r="D22" s="10">
        <f t="shared" si="1"/>
        <v>13</v>
      </c>
      <c r="E22" s="11" t="s">
        <v>59</v>
      </c>
      <c r="H22" s="9" t="s">
        <v>113</v>
      </c>
      <c r="K22" s="11" t="s">
        <v>297</v>
      </c>
    </row>
    <row r="23" spans="1:11" s="9" customFormat="1" x14ac:dyDescent="0.35">
      <c r="A23" s="10">
        <f t="shared" si="0"/>
        <v>14</v>
      </c>
      <c r="B23" s="11" t="s">
        <v>165</v>
      </c>
      <c r="D23" s="10">
        <f t="shared" si="1"/>
        <v>14</v>
      </c>
      <c r="E23" s="11" t="s">
        <v>296</v>
      </c>
      <c r="H23" s="9" t="s">
        <v>116</v>
      </c>
      <c r="K23" s="11" t="s">
        <v>295</v>
      </c>
    </row>
    <row r="24" spans="1:11" s="9" customFormat="1" x14ac:dyDescent="0.35">
      <c r="A24" s="10">
        <f t="shared" si="0"/>
        <v>15</v>
      </c>
      <c r="B24" s="11" t="s">
        <v>294</v>
      </c>
      <c r="D24" s="10">
        <f t="shared" si="1"/>
        <v>15</v>
      </c>
      <c r="E24" s="11" t="s">
        <v>33</v>
      </c>
      <c r="H24" s="9" t="s">
        <v>119</v>
      </c>
      <c r="K24" s="11" t="s">
        <v>293</v>
      </c>
    </row>
    <row r="25" spans="1:11" s="9" customFormat="1" x14ac:dyDescent="0.35">
      <c r="A25" s="10">
        <f t="shared" si="0"/>
        <v>16</v>
      </c>
      <c r="B25" s="11" t="s">
        <v>177</v>
      </c>
      <c r="D25" s="10">
        <f t="shared" si="1"/>
        <v>16</v>
      </c>
      <c r="E25" s="11" t="s">
        <v>292</v>
      </c>
    </row>
    <row r="26" spans="1:11" s="9" customFormat="1" x14ac:dyDescent="0.35">
      <c r="A26" s="10">
        <f t="shared" si="0"/>
        <v>17</v>
      </c>
      <c r="B26" s="11" t="s">
        <v>291</v>
      </c>
      <c r="H26" s="9" t="s">
        <v>122</v>
      </c>
      <c r="K26" s="13">
        <v>369</v>
      </c>
    </row>
    <row r="27" spans="1:11" s="9" customFormat="1" x14ac:dyDescent="0.35">
      <c r="A27" s="10">
        <f t="shared" si="0"/>
        <v>18</v>
      </c>
      <c r="B27" s="11" t="s">
        <v>63</v>
      </c>
      <c r="H27" s="9" t="s">
        <v>124</v>
      </c>
    </row>
    <row r="28" spans="1:11" x14ac:dyDescent="0.35">
      <c r="A28" s="10">
        <f t="shared" si="0"/>
        <v>19</v>
      </c>
      <c r="B28" s="11" t="s">
        <v>141</v>
      </c>
    </row>
    <row r="29" spans="1:11" x14ac:dyDescent="0.35">
      <c r="A29" s="10">
        <f t="shared" si="0"/>
        <v>20</v>
      </c>
      <c r="B29" s="11" t="s">
        <v>290</v>
      </c>
    </row>
    <row r="30" spans="1:11" x14ac:dyDescent="0.35">
      <c r="A30" s="10">
        <f t="shared" si="0"/>
        <v>21</v>
      </c>
      <c r="B30" s="11" t="s">
        <v>75</v>
      </c>
    </row>
    <row r="31" spans="1:11" x14ac:dyDescent="0.35">
      <c r="A31" s="10">
        <f t="shared" si="0"/>
        <v>22</v>
      </c>
      <c r="B31" s="11" t="s">
        <v>78</v>
      </c>
    </row>
    <row r="32" spans="1:11" x14ac:dyDescent="0.35">
      <c r="A32" s="10">
        <f t="shared" si="0"/>
        <v>23</v>
      </c>
      <c r="B32" s="11" t="s">
        <v>174</v>
      </c>
    </row>
    <row r="33" spans="1:2" x14ac:dyDescent="0.35">
      <c r="A33" s="10">
        <f t="shared" si="0"/>
        <v>24</v>
      </c>
      <c r="B33" s="11" t="s">
        <v>217</v>
      </c>
    </row>
    <row r="34" spans="1:2" x14ac:dyDescent="0.35">
      <c r="A34" s="10">
        <f t="shared" si="0"/>
        <v>25</v>
      </c>
      <c r="B34" s="11" t="s">
        <v>158</v>
      </c>
    </row>
    <row r="35" spans="1:2" x14ac:dyDescent="0.35">
      <c r="A35" s="10">
        <f t="shared" si="0"/>
        <v>26</v>
      </c>
      <c r="B35" s="11" t="s">
        <v>196</v>
      </c>
    </row>
    <row r="36" spans="1:2" x14ac:dyDescent="0.35">
      <c r="A36" s="10">
        <f t="shared" si="0"/>
        <v>27</v>
      </c>
      <c r="B36" s="11" t="s">
        <v>289</v>
      </c>
    </row>
    <row r="37" spans="1:2" x14ac:dyDescent="0.35">
      <c r="A37" s="10">
        <f t="shared" si="0"/>
        <v>28</v>
      </c>
      <c r="B37" s="11" t="s">
        <v>31</v>
      </c>
    </row>
    <row r="38" spans="1:2" x14ac:dyDescent="0.35">
      <c r="A38" s="10">
        <f t="shared" si="0"/>
        <v>29</v>
      </c>
      <c r="B38" s="11" t="s">
        <v>147</v>
      </c>
    </row>
    <row r="39" spans="1:2" x14ac:dyDescent="0.35">
      <c r="A39" s="10">
        <f t="shared" si="0"/>
        <v>30</v>
      </c>
      <c r="B39" s="11" t="s">
        <v>288</v>
      </c>
    </row>
    <row r="40" spans="1:2" x14ac:dyDescent="0.35">
      <c r="A40" s="10">
        <f t="shared" si="0"/>
        <v>31</v>
      </c>
      <c r="B40" s="11" t="s">
        <v>287</v>
      </c>
    </row>
    <row r="41" spans="1:2" x14ac:dyDescent="0.35">
      <c r="A41" s="10">
        <f t="shared" si="0"/>
        <v>32</v>
      </c>
      <c r="B41" s="11" t="s">
        <v>286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F874-3F34-4151-9299-A39D18F8697D}">
  <sheetPr>
    <tabColor theme="8" tint="0.39997558519241921"/>
  </sheetPr>
  <dimension ref="A6:J82"/>
  <sheetViews>
    <sheetView topLeftCell="A64" workbookViewId="0">
      <selection activeCell="J82" sqref="J82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1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2</v>
      </c>
      <c r="G10" s="3" t="s">
        <v>13</v>
      </c>
      <c r="H10" s="2" t="str">
        <f t="shared" si="0"/>
        <v>A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1</v>
      </c>
      <c r="G11" s="3" t="s">
        <v>11</v>
      </c>
      <c r="H11" s="2" t="str">
        <f t="shared" si="0"/>
        <v>D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1</v>
      </c>
      <c r="G12" s="3" t="s">
        <v>12</v>
      </c>
      <c r="H12" s="2" t="str">
        <f t="shared" si="0"/>
        <v>D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0</v>
      </c>
      <c r="G13" s="3" t="s">
        <v>10</v>
      </c>
      <c r="H13" s="2" t="str">
        <f t="shared" si="0"/>
        <v>H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0</v>
      </c>
      <c r="G14" s="3" t="s">
        <v>12</v>
      </c>
      <c r="H14" s="2" t="str">
        <f t="shared" si="0"/>
        <v>H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1</v>
      </c>
      <c r="F15" s="4">
        <v>2</v>
      </c>
      <c r="G15" s="3" t="s">
        <v>19</v>
      </c>
      <c r="H15" s="2" t="str">
        <f t="shared" si="0"/>
        <v>A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1</v>
      </c>
      <c r="F17" s="4">
        <v>2</v>
      </c>
      <c r="G17" s="3" t="s">
        <v>19</v>
      </c>
      <c r="H17" s="2" t="str">
        <f t="shared" si="0"/>
        <v>A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1</v>
      </c>
      <c r="F18" s="4">
        <v>1</v>
      </c>
      <c r="G18" s="3" t="s">
        <v>21</v>
      </c>
      <c r="H18" s="2" t="str">
        <f t="shared" si="0"/>
        <v>D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2</v>
      </c>
      <c r="G19" s="3" t="s">
        <v>18</v>
      </c>
      <c r="H19" s="2" t="str">
        <f t="shared" si="0"/>
        <v>A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0</v>
      </c>
      <c r="F20" s="4">
        <v>0</v>
      </c>
      <c r="G20" s="3" t="s">
        <v>21</v>
      </c>
      <c r="H20" s="2" t="str">
        <f t="shared" si="0"/>
        <v>D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2</v>
      </c>
      <c r="G21" s="3" t="s">
        <v>25</v>
      </c>
      <c r="H21" s="2" t="str">
        <f t="shared" si="0"/>
        <v>D</v>
      </c>
      <c r="J21">
        <v>1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1</v>
      </c>
      <c r="G23" s="3" t="s">
        <v>25</v>
      </c>
      <c r="H23" s="2" t="str">
        <f t="shared" si="0"/>
        <v>D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5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2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1</v>
      </c>
      <c r="F30" s="4">
        <v>1</v>
      </c>
      <c r="G30" s="3" t="s">
        <v>31</v>
      </c>
      <c r="H30" s="2" t="str">
        <f t="shared" si="0"/>
        <v>D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2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3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3</v>
      </c>
      <c r="F35" s="4">
        <v>1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1</v>
      </c>
      <c r="F36" s="4">
        <v>1</v>
      </c>
      <c r="G36" s="3" t="s">
        <v>38</v>
      </c>
      <c r="H36" s="2" t="str">
        <f t="shared" si="0"/>
        <v>D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2</v>
      </c>
      <c r="F38" s="4">
        <v>0</v>
      </c>
      <c r="G38" s="3" t="s">
        <v>39</v>
      </c>
      <c r="H38" s="2" t="str">
        <f t="shared" si="0"/>
        <v>H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1</v>
      </c>
      <c r="F39" s="4">
        <v>0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1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D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1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1</v>
      </c>
      <c r="G43" s="3" t="s">
        <v>45</v>
      </c>
      <c r="H43" s="2" t="str">
        <f t="shared" si="1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2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3</v>
      </c>
      <c r="G46" s="3" t="s">
        <v>52</v>
      </c>
      <c r="H46" s="2" t="str">
        <f t="shared" si="1"/>
        <v>A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3</v>
      </c>
      <c r="F47" s="4">
        <v>1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1</v>
      </c>
      <c r="G48" s="3" t="s">
        <v>50</v>
      </c>
      <c r="H48" s="2" t="str">
        <f t="shared" si="1"/>
        <v>D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2</v>
      </c>
      <c r="F49" s="4">
        <v>0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2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5</v>
      </c>
      <c r="F51" s="4">
        <v>1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3</v>
      </c>
      <c r="F53" s="4">
        <v>1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3</v>
      </c>
      <c r="F54" s="4">
        <v>1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0</v>
      </c>
      <c r="F55" s="4">
        <v>3</v>
      </c>
      <c r="G55" s="3" t="s">
        <v>58</v>
      </c>
      <c r="H55" s="2" t="str">
        <f t="shared" si="1"/>
        <v>A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2</v>
      </c>
      <c r="F56" s="4">
        <v>2</v>
      </c>
      <c r="G56" s="3" t="s">
        <v>56</v>
      </c>
      <c r="H56" s="2" t="str">
        <f t="shared" si="1"/>
        <v>D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2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0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2</v>
      </c>
      <c r="F61" s="4">
        <v>2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1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3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3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1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1</v>
      </c>
      <c r="G67" s="3" t="s">
        <v>70</v>
      </c>
      <c r="H67" s="2" t="str">
        <f t="shared" si="1"/>
        <v>D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1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4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2</v>
      </c>
      <c r="F70" s="4">
        <v>2</v>
      </c>
      <c r="G70" s="3" t="s">
        <v>78</v>
      </c>
      <c r="H70" s="2" t="str">
        <f t="shared" si="1"/>
        <v>D</v>
      </c>
      <c r="J70">
        <v>0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1</v>
      </c>
      <c r="F71" s="4">
        <v>1</v>
      </c>
      <c r="G71" s="3" t="s">
        <v>77</v>
      </c>
      <c r="H71" s="2" t="str">
        <f t="shared" si="1"/>
        <v>D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1</v>
      </c>
      <c r="F72" s="4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0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0</v>
      </c>
      <c r="F74" s="4">
        <v>2</v>
      </c>
      <c r="G74" s="3" t="s">
        <v>77</v>
      </c>
      <c r="H74" s="2" t="str">
        <f t="shared" si="2"/>
        <v>A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3</v>
      </c>
      <c r="F76" s="4">
        <v>1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1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2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1</v>
      </c>
      <c r="G80" s="3" t="s">
        <v>83</v>
      </c>
      <c r="H80" s="2" t="str">
        <f t="shared" si="2"/>
        <v>D</v>
      </c>
      <c r="J80" s="54"/>
    </row>
    <row r="82" spans="10:10" x14ac:dyDescent="0.35">
      <c r="J82">
        <f>SUM(J8:J80)</f>
        <v>12</v>
      </c>
    </row>
  </sheetData>
  <pageMargins left="0.75" right="0.75" top="1" bottom="1" header="0.5" footer="0.5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D2A7-8BB0-4180-866B-405B6E21EAD0}">
  <sheetPr>
    <tabColor theme="8" tint="0.39997558519241921"/>
  </sheetPr>
  <dimension ref="A5:Q42"/>
  <sheetViews>
    <sheetView topLeftCell="A4" zoomScaleNormal="100" workbookViewId="0">
      <selection activeCell="E81" sqref="E81"/>
    </sheetView>
  </sheetViews>
  <sheetFormatPr defaultColWidth="8.6328125" defaultRowHeight="14.5" x14ac:dyDescent="0.35"/>
  <cols>
    <col min="1" max="1" width="3.36328125" customWidth="1"/>
    <col min="2" max="2" width="20.54296875" customWidth="1"/>
    <col min="3" max="3" width="1.6328125" customWidth="1"/>
    <col min="4" max="4" width="3.36328125" customWidth="1"/>
    <col min="5" max="5" width="20.54296875" customWidth="1"/>
    <col min="6" max="6" width="1.6328125" customWidth="1"/>
    <col min="7" max="7" width="3.36328125" customWidth="1"/>
    <col min="8" max="8" width="20.54296875" customWidth="1"/>
    <col min="9" max="9" width="1.6328125" customWidth="1"/>
    <col min="10" max="10" width="3.36328125" customWidth="1"/>
    <col min="11" max="11" width="20.54296875" customWidth="1"/>
    <col min="12" max="12" width="1.6328125" customWidth="1"/>
    <col min="13" max="13" width="3.36328125" customWidth="1"/>
    <col min="14" max="14" width="20.54296875" customWidth="1"/>
    <col min="15" max="15" width="1.6328125" customWidth="1"/>
    <col min="16" max="16" width="3.36328125" customWidth="1"/>
    <col min="17" max="17" width="20.5429687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312</v>
      </c>
      <c r="D10" s="10">
        <v>1</v>
      </c>
      <c r="E10" s="11" t="s">
        <v>312</v>
      </c>
      <c r="G10" s="10">
        <v>1</v>
      </c>
      <c r="H10" s="11" t="s">
        <v>96</v>
      </c>
      <c r="J10" s="10">
        <v>1</v>
      </c>
      <c r="K10" s="11" t="s">
        <v>144</v>
      </c>
      <c r="M10" s="10">
        <v>1</v>
      </c>
      <c r="N10" s="11" t="s">
        <v>101</v>
      </c>
      <c r="P10" s="10">
        <v>1</v>
      </c>
      <c r="Q10" s="11" t="s">
        <v>101</v>
      </c>
    </row>
    <row r="11" spans="1:17" s="9" customFormat="1" x14ac:dyDescent="0.35">
      <c r="A11" s="10">
        <f t="shared" ref="A11:A41" si="0">A10+1</f>
        <v>2</v>
      </c>
      <c r="B11" s="11" t="s">
        <v>311</v>
      </c>
      <c r="D11" s="10">
        <f t="shared" ref="D11:D25" si="1">D10+1</f>
        <v>2</v>
      </c>
      <c r="E11" s="11" t="s">
        <v>144</v>
      </c>
      <c r="G11" s="10">
        <f t="shared" ref="G11:G17" si="2">G10+1</f>
        <v>2</v>
      </c>
      <c r="H11" s="11" t="s">
        <v>144</v>
      </c>
      <c r="J11" s="10">
        <f>J10+1</f>
        <v>2</v>
      </c>
      <c r="K11" s="11" t="s">
        <v>101</v>
      </c>
      <c r="M11" s="10">
        <f>M10+1</f>
        <v>2</v>
      </c>
      <c r="N11" s="11" t="s">
        <v>106</v>
      </c>
    </row>
    <row r="12" spans="1:17" s="9" customFormat="1" x14ac:dyDescent="0.35">
      <c r="A12" s="10">
        <f t="shared" si="0"/>
        <v>3</v>
      </c>
      <c r="B12" s="11" t="s">
        <v>138</v>
      </c>
      <c r="D12" s="10">
        <f t="shared" si="1"/>
        <v>3</v>
      </c>
      <c r="E12" s="11" t="s">
        <v>91</v>
      </c>
      <c r="G12" s="10">
        <f t="shared" si="2"/>
        <v>3</v>
      </c>
      <c r="H12" s="11" t="s">
        <v>101</v>
      </c>
      <c r="J12" s="10">
        <f>J11+1</f>
        <v>3</v>
      </c>
      <c r="K12" s="11" t="s">
        <v>93</v>
      </c>
    </row>
    <row r="13" spans="1:17" s="9" customFormat="1" x14ac:dyDescent="0.35">
      <c r="A13" s="10">
        <f t="shared" si="0"/>
        <v>4</v>
      </c>
      <c r="B13" s="11" t="s">
        <v>91</v>
      </c>
      <c r="D13" s="10">
        <f t="shared" si="1"/>
        <v>4</v>
      </c>
      <c r="E13" s="11" t="s">
        <v>128</v>
      </c>
      <c r="G13" s="10">
        <f t="shared" si="2"/>
        <v>4</v>
      </c>
      <c r="H13" s="11" t="s">
        <v>103</v>
      </c>
      <c r="J13" s="10">
        <f>J12+1</f>
        <v>4</v>
      </c>
      <c r="K13" s="11" t="s">
        <v>106</v>
      </c>
    </row>
    <row r="14" spans="1:17" s="9" customFormat="1" x14ac:dyDescent="0.35">
      <c r="A14" s="10">
        <f t="shared" si="0"/>
        <v>5</v>
      </c>
      <c r="B14" s="11" t="s">
        <v>96</v>
      </c>
      <c r="D14" s="10">
        <f t="shared" si="1"/>
        <v>5</v>
      </c>
      <c r="E14" s="11" t="s">
        <v>99</v>
      </c>
      <c r="G14" s="10">
        <f t="shared" si="2"/>
        <v>5</v>
      </c>
      <c r="H14" s="11" t="s">
        <v>91</v>
      </c>
    </row>
    <row r="15" spans="1:17" s="9" customFormat="1" x14ac:dyDescent="0.35">
      <c r="A15" s="10">
        <f t="shared" si="0"/>
        <v>6</v>
      </c>
      <c r="B15" s="11" t="s">
        <v>139</v>
      </c>
      <c r="D15" s="10">
        <f t="shared" si="1"/>
        <v>6</v>
      </c>
      <c r="E15" s="11" t="s">
        <v>101</v>
      </c>
      <c r="G15" s="10">
        <f t="shared" si="2"/>
        <v>6</v>
      </c>
      <c r="H15" s="11" t="s">
        <v>93</v>
      </c>
    </row>
    <row r="16" spans="1:17" s="9" customFormat="1" x14ac:dyDescent="0.35">
      <c r="A16" s="10">
        <f t="shared" si="0"/>
        <v>7</v>
      </c>
      <c r="B16" s="11" t="s">
        <v>94</v>
      </c>
      <c r="D16" s="10">
        <f t="shared" si="1"/>
        <v>7</v>
      </c>
      <c r="E16" s="11" t="s">
        <v>106</v>
      </c>
      <c r="G16" s="10">
        <f t="shared" si="2"/>
        <v>7</v>
      </c>
      <c r="H16" s="11" t="s">
        <v>106</v>
      </c>
    </row>
    <row r="17" spans="1:11" s="9" customFormat="1" x14ac:dyDescent="0.35">
      <c r="A17" s="10">
        <f t="shared" si="0"/>
        <v>8</v>
      </c>
      <c r="B17" s="11" t="s">
        <v>144</v>
      </c>
      <c r="D17" s="10">
        <f t="shared" si="1"/>
        <v>8</v>
      </c>
      <c r="E17" s="11" t="s">
        <v>109</v>
      </c>
      <c r="G17" s="10">
        <f t="shared" si="2"/>
        <v>8</v>
      </c>
      <c r="H17" s="11" t="s">
        <v>97</v>
      </c>
    </row>
    <row r="18" spans="1:11" s="9" customFormat="1" x14ac:dyDescent="0.35">
      <c r="A18" s="10">
        <f t="shared" si="0"/>
        <v>9</v>
      </c>
      <c r="B18" s="11" t="s">
        <v>182</v>
      </c>
      <c r="D18" s="10">
        <f t="shared" si="1"/>
        <v>9</v>
      </c>
      <c r="E18" s="11" t="s">
        <v>96</v>
      </c>
    </row>
    <row r="19" spans="1:11" s="9" customFormat="1" x14ac:dyDescent="0.35">
      <c r="A19" s="10">
        <f t="shared" si="0"/>
        <v>10</v>
      </c>
      <c r="B19" s="11" t="s">
        <v>128</v>
      </c>
      <c r="D19" s="10">
        <f t="shared" si="1"/>
        <v>10</v>
      </c>
      <c r="E19" s="11" t="s">
        <v>92</v>
      </c>
    </row>
    <row r="20" spans="1:11" s="9" customFormat="1" x14ac:dyDescent="0.35">
      <c r="A20" s="10">
        <f t="shared" si="0"/>
        <v>11</v>
      </c>
      <c r="B20" s="11" t="s">
        <v>92</v>
      </c>
      <c r="D20" s="10">
        <f t="shared" si="1"/>
        <v>11</v>
      </c>
      <c r="E20" s="11" t="s">
        <v>93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145</v>
      </c>
      <c r="D21" s="10">
        <f t="shared" si="1"/>
        <v>12</v>
      </c>
      <c r="E21" s="11" t="s">
        <v>112</v>
      </c>
    </row>
    <row r="22" spans="1:11" s="9" customFormat="1" x14ac:dyDescent="0.35">
      <c r="A22" s="10">
        <f t="shared" si="0"/>
        <v>13</v>
      </c>
      <c r="B22" s="11" t="s">
        <v>93</v>
      </c>
      <c r="D22" s="10">
        <f t="shared" si="1"/>
        <v>13</v>
      </c>
      <c r="E22" s="11" t="s">
        <v>98</v>
      </c>
      <c r="H22" s="9" t="s">
        <v>113</v>
      </c>
      <c r="K22" s="11" t="s">
        <v>249</v>
      </c>
    </row>
    <row r="23" spans="1:11" s="9" customFormat="1" x14ac:dyDescent="0.35">
      <c r="A23" s="10">
        <f t="shared" si="0"/>
        <v>14</v>
      </c>
      <c r="B23" s="11" t="s">
        <v>121</v>
      </c>
      <c r="D23" s="10">
        <f t="shared" si="1"/>
        <v>14</v>
      </c>
      <c r="E23" s="11" t="s">
        <v>103</v>
      </c>
      <c r="H23" s="9" t="s">
        <v>116</v>
      </c>
      <c r="K23" s="11" t="s">
        <v>196</v>
      </c>
    </row>
    <row r="24" spans="1:11" s="9" customFormat="1" x14ac:dyDescent="0.35">
      <c r="A24" s="10">
        <f t="shared" si="0"/>
        <v>15</v>
      </c>
      <c r="B24" s="11" t="s">
        <v>112</v>
      </c>
      <c r="D24" s="10">
        <f t="shared" si="1"/>
        <v>15</v>
      </c>
      <c r="E24" s="11" t="s">
        <v>97</v>
      </c>
      <c r="H24" s="9" t="s">
        <v>119</v>
      </c>
      <c r="K24" s="11" t="s">
        <v>140</v>
      </c>
    </row>
    <row r="25" spans="1:11" s="9" customFormat="1" x14ac:dyDescent="0.35">
      <c r="A25" s="10">
        <f t="shared" si="0"/>
        <v>16</v>
      </c>
      <c r="B25" s="11" t="s">
        <v>127</v>
      </c>
      <c r="D25" s="10">
        <f t="shared" si="1"/>
        <v>16</v>
      </c>
      <c r="E25" s="11" t="s">
        <v>129</v>
      </c>
    </row>
    <row r="26" spans="1:11" s="9" customFormat="1" x14ac:dyDescent="0.35">
      <c r="A26" s="10">
        <f t="shared" si="0"/>
        <v>17</v>
      </c>
      <c r="B26" s="11" t="s">
        <v>103</v>
      </c>
      <c r="H26" s="9" t="s">
        <v>122</v>
      </c>
      <c r="K26" s="13">
        <v>269</v>
      </c>
    </row>
    <row r="27" spans="1:11" s="9" customFormat="1" x14ac:dyDescent="0.35">
      <c r="A27" s="10">
        <f t="shared" si="0"/>
        <v>18</v>
      </c>
      <c r="B27" s="11" t="s">
        <v>310</v>
      </c>
      <c r="H27" s="9" t="s">
        <v>124</v>
      </c>
    </row>
    <row r="28" spans="1:11" x14ac:dyDescent="0.35">
      <c r="A28" s="10">
        <f t="shared" si="0"/>
        <v>19</v>
      </c>
      <c r="B28" s="11" t="s">
        <v>102</v>
      </c>
    </row>
    <row r="29" spans="1:11" x14ac:dyDescent="0.35">
      <c r="A29" s="10">
        <f t="shared" si="0"/>
        <v>20</v>
      </c>
      <c r="B29" s="11" t="s">
        <v>98</v>
      </c>
    </row>
    <row r="30" spans="1:11" x14ac:dyDescent="0.35">
      <c r="A30" s="10">
        <f t="shared" si="0"/>
        <v>21</v>
      </c>
      <c r="B30" s="11" t="s">
        <v>101</v>
      </c>
    </row>
    <row r="31" spans="1:11" x14ac:dyDescent="0.35">
      <c r="A31" s="10">
        <f t="shared" si="0"/>
        <v>22</v>
      </c>
      <c r="B31" s="11" t="s">
        <v>123</v>
      </c>
    </row>
    <row r="32" spans="1:11" x14ac:dyDescent="0.35">
      <c r="A32" s="10">
        <f t="shared" si="0"/>
        <v>23</v>
      </c>
      <c r="B32" s="11" t="s">
        <v>105</v>
      </c>
    </row>
    <row r="33" spans="1:2" x14ac:dyDescent="0.35">
      <c r="A33" s="10">
        <f t="shared" si="0"/>
        <v>24</v>
      </c>
      <c r="B33" s="11" t="s">
        <v>99</v>
      </c>
    </row>
    <row r="34" spans="1:2" x14ac:dyDescent="0.35">
      <c r="A34" s="10">
        <f t="shared" si="0"/>
        <v>25</v>
      </c>
      <c r="B34" s="11" t="s">
        <v>131</v>
      </c>
    </row>
    <row r="35" spans="1:2" x14ac:dyDescent="0.35">
      <c r="A35" s="10">
        <f t="shared" si="0"/>
        <v>26</v>
      </c>
      <c r="B35" s="11" t="s">
        <v>97</v>
      </c>
    </row>
    <row r="36" spans="1:2" x14ac:dyDescent="0.35">
      <c r="A36" s="10">
        <f t="shared" si="0"/>
        <v>27</v>
      </c>
      <c r="B36" s="11" t="s">
        <v>109</v>
      </c>
    </row>
    <row r="37" spans="1:2" x14ac:dyDescent="0.35">
      <c r="A37" s="10">
        <f t="shared" si="0"/>
        <v>28</v>
      </c>
      <c r="B37" s="11" t="s">
        <v>142</v>
      </c>
    </row>
    <row r="38" spans="1:2" x14ac:dyDescent="0.35">
      <c r="A38" s="10">
        <f t="shared" si="0"/>
        <v>29</v>
      </c>
      <c r="B38" s="11" t="s">
        <v>106</v>
      </c>
    </row>
    <row r="39" spans="1:2" x14ac:dyDescent="0.35">
      <c r="A39" s="10">
        <f t="shared" si="0"/>
        <v>30</v>
      </c>
      <c r="B39" s="11" t="s">
        <v>130</v>
      </c>
    </row>
    <row r="40" spans="1:2" x14ac:dyDescent="0.35">
      <c r="A40" s="10">
        <f t="shared" si="0"/>
        <v>31</v>
      </c>
      <c r="B40" s="11" t="s">
        <v>129</v>
      </c>
    </row>
    <row r="41" spans="1:2" x14ac:dyDescent="0.35">
      <c r="A41" s="10">
        <f t="shared" si="0"/>
        <v>32</v>
      </c>
      <c r="B41" s="11" t="s">
        <v>309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299F-32DB-4DF8-A63B-ADCCA3E578D0}">
  <sheetPr>
    <tabColor theme="8" tint="0.39997558519241921"/>
  </sheetPr>
  <dimension ref="A6:J82"/>
  <sheetViews>
    <sheetView topLeftCell="A66" workbookViewId="0">
      <selection activeCell="J84" sqref="J84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3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2</v>
      </c>
      <c r="F10" s="4">
        <v>1</v>
      </c>
      <c r="G10" s="3" t="s">
        <v>13</v>
      </c>
      <c r="H10" s="2" t="str">
        <f t="shared" si="0"/>
        <v>H</v>
      </c>
      <c r="J10">
        <v>3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0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3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0</v>
      </c>
      <c r="F14" s="4">
        <v>2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1</v>
      </c>
      <c r="F15" s="4">
        <v>1</v>
      </c>
      <c r="G15" s="3" t="s">
        <v>19</v>
      </c>
      <c r="H15" s="2" t="str">
        <f t="shared" si="0"/>
        <v>D</v>
      </c>
      <c r="J15">
        <v>3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3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2</v>
      </c>
      <c r="F19" s="4">
        <v>0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2</v>
      </c>
      <c r="G20" s="3" t="s">
        <v>21</v>
      </c>
      <c r="H20" s="2" t="str">
        <f t="shared" si="0"/>
        <v>D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1</v>
      </c>
      <c r="F21" s="4">
        <v>1</v>
      </c>
      <c r="G21" s="3" t="s">
        <v>25</v>
      </c>
      <c r="H21" s="2" t="str">
        <f t="shared" si="0"/>
        <v>D</v>
      </c>
      <c r="J21">
        <v>3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4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2</v>
      </c>
      <c r="F23" s="4">
        <v>1</v>
      </c>
      <c r="G23" s="3" t="s">
        <v>25</v>
      </c>
      <c r="H23" s="2" t="str">
        <f t="shared" si="0"/>
        <v>H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3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0</v>
      </c>
      <c r="G25" s="3" t="s">
        <v>24</v>
      </c>
      <c r="H25" s="2" t="str">
        <f t="shared" si="0"/>
        <v>H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0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0</v>
      </c>
      <c r="F28" s="4">
        <v>3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1</v>
      </c>
      <c r="F29" s="4">
        <v>2</v>
      </c>
      <c r="G29" s="3" t="s">
        <v>32</v>
      </c>
      <c r="H29" s="2" t="str">
        <f t="shared" si="0"/>
        <v>A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3</v>
      </c>
      <c r="F30" s="4">
        <v>0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/>
      <c r="G31" s="3" t="s">
        <v>30</v>
      </c>
      <c r="H31" s="2" t="str">
        <f t="shared" si="0"/>
        <v/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3</v>
      </c>
      <c r="F32" s="4">
        <v>1</v>
      </c>
      <c r="G32" s="3" t="s">
        <v>32</v>
      </c>
      <c r="H32" s="2" t="str">
        <f t="shared" si="0"/>
        <v>H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4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2</v>
      </c>
      <c r="F34" s="4">
        <v>0</v>
      </c>
      <c r="G34" s="3" t="s">
        <v>40</v>
      </c>
      <c r="H34" s="2" t="str">
        <f t="shared" si="0"/>
        <v>H</v>
      </c>
      <c r="J34">
        <v>1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8</v>
      </c>
      <c r="F35" s="4">
        <v>2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5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0</v>
      </c>
      <c r="F38" s="4">
        <v>4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3</v>
      </c>
      <c r="F39" s="4">
        <v>0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0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2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0</v>
      </c>
      <c r="G43" s="3" t="s">
        <v>45</v>
      </c>
      <c r="H43" s="2" t="str">
        <f t="shared" si="1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1</v>
      </c>
      <c r="F44" s="4">
        <v>0</v>
      </c>
      <c r="G44" s="3" t="s">
        <v>43</v>
      </c>
      <c r="H44" s="2" t="str">
        <f t="shared" si="1"/>
        <v>H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1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2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1</v>
      </c>
      <c r="F47" s="4">
        <v>1</v>
      </c>
      <c r="G47" s="3" t="s">
        <v>51</v>
      </c>
      <c r="H47" s="2" t="str">
        <f t="shared" si="1"/>
        <v>D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2</v>
      </c>
      <c r="F49" s="4">
        <v>1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2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6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2</v>
      </c>
      <c r="F52" s="4">
        <v>0</v>
      </c>
      <c r="G52" s="3" t="s">
        <v>59</v>
      </c>
      <c r="H52" s="2" t="str">
        <f t="shared" si="1"/>
        <v>H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3</v>
      </c>
      <c r="F53" s="4">
        <v>1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4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3</v>
      </c>
      <c r="F55" s="4">
        <v>0</v>
      </c>
      <c r="G55" s="3" t="s">
        <v>58</v>
      </c>
      <c r="H55" s="2" t="str">
        <f t="shared" si="1"/>
        <v>H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2</v>
      </c>
      <c r="F56" s="4">
        <v>4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0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4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1</v>
      </c>
      <c r="F60" s="4">
        <v>2</v>
      </c>
      <c r="G60" s="3" t="s">
        <v>63</v>
      </c>
      <c r="H60" s="2" t="str">
        <f t="shared" si="1"/>
        <v>A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1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1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1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1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0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2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2</v>
      </c>
      <c r="F67" s="4">
        <v>0</v>
      </c>
      <c r="G67" s="3" t="s">
        <v>70</v>
      </c>
      <c r="H67" s="2" t="str">
        <f t="shared" si="1"/>
        <v>H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3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0</v>
      </c>
      <c r="F70" s="4">
        <v>3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1</v>
      </c>
      <c r="F72" s="4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0</v>
      </c>
      <c r="G73" s="3" t="s">
        <v>75</v>
      </c>
      <c r="H73" s="2" t="str">
        <f t="shared" ref="H73:H80" si="2">IF(AND(E73&lt;&gt;"",F73&lt;&gt;""),IF(E73&gt;F73,"H",IF(E73&lt;F73,"A","D")),"")</f>
        <v>H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0</v>
      </c>
      <c r="F74" s="4">
        <v>2</v>
      </c>
      <c r="G74" s="3" t="s">
        <v>77</v>
      </c>
      <c r="H74" s="2" t="str">
        <f t="shared" si="2"/>
        <v>A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3</v>
      </c>
      <c r="F75" s="4">
        <v>0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3</v>
      </c>
      <c r="F76" s="4">
        <v>0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1</v>
      </c>
      <c r="F77" s="4">
        <v>2</v>
      </c>
      <c r="G77" s="3" t="s">
        <v>83</v>
      </c>
      <c r="H77" s="2" t="str">
        <f t="shared" si="2"/>
        <v>A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2</v>
      </c>
      <c r="F78" s="4">
        <v>2</v>
      </c>
      <c r="G78" s="3" t="s">
        <v>82</v>
      </c>
      <c r="H78" s="2" t="str">
        <f t="shared" si="2"/>
        <v>D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1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3</v>
      </c>
      <c r="F80" s="4">
        <v>1</v>
      </c>
      <c r="G80" s="3" t="s">
        <v>83</v>
      </c>
      <c r="H80" s="2" t="str">
        <f t="shared" si="2"/>
        <v>H</v>
      </c>
      <c r="J80" s="54"/>
    </row>
    <row r="82" spans="10:10" x14ac:dyDescent="0.35">
      <c r="J82">
        <f>SUM(J8:J80)</f>
        <v>22</v>
      </c>
    </row>
  </sheetData>
  <pageMargins left="0.75" right="0.75" top="1" bottom="1" header="0.5" footer="0.5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9802-445F-4F00-985E-F11F3BA7C05F}">
  <sheetPr>
    <tabColor theme="8" tint="0.39997558519241921"/>
  </sheetPr>
  <dimension ref="A5:Q42"/>
  <sheetViews>
    <sheetView topLeftCell="A7" workbookViewId="0">
      <selection activeCell="G10" sqref="G10"/>
    </sheetView>
  </sheetViews>
  <sheetFormatPr defaultColWidth="8.7265625" defaultRowHeight="14.5" x14ac:dyDescent="0.35"/>
  <cols>
    <col min="1" max="1" width="3.26953125" customWidth="1"/>
    <col min="2" max="2" width="20.54296875" customWidth="1"/>
    <col min="3" max="3" width="1.7265625" customWidth="1"/>
    <col min="4" max="4" width="3.26953125" customWidth="1"/>
    <col min="5" max="5" width="20.54296875" customWidth="1"/>
    <col min="6" max="6" width="1.7265625" customWidth="1"/>
    <col min="7" max="7" width="3.26953125" customWidth="1"/>
    <col min="8" max="8" width="20.54296875" customWidth="1"/>
    <col min="9" max="9" width="1.7265625" customWidth="1"/>
    <col min="10" max="10" width="3.26953125" customWidth="1"/>
    <col min="11" max="11" width="20.54296875" customWidth="1"/>
    <col min="12" max="12" width="1.7265625" customWidth="1"/>
    <col min="13" max="13" width="3.26953125" customWidth="1"/>
    <col min="14" max="14" width="20.54296875" customWidth="1"/>
    <col min="15" max="15" width="1.7265625" customWidth="1"/>
    <col min="16" max="16" width="3.26953125" customWidth="1"/>
    <col min="17" max="17" width="20.5429687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t="s">
        <v>68</v>
      </c>
      <c r="D10" s="10">
        <v>1</v>
      </c>
      <c r="E10" t="s">
        <v>68</v>
      </c>
      <c r="G10" s="10">
        <v>1</v>
      </c>
      <c r="H10" t="s">
        <v>68</v>
      </c>
      <c r="J10" s="10">
        <v>1</v>
      </c>
      <c r="K10" t="s">
        <v>43</v>
      </c>
      <c r="M10" s="10">
        <v>1</v>
      </c>
      <c r="N10" t="s">
        <v>43</v>
      </c>
      <c r="P10" s="10">
        <v>1</v>
      </c>
      <c r="Q10" t="s">
        <v>43</v>
      </c>
    </row>
    <row r="11" spans="1:17" s="9" customFormat="1" x14ac:dyDescent="0.35">
      <c r="A11" s="10">
        <f t="shared" ref="A11:A41" si="0">A10+1</f>
        <v>2</v>
      </c>
      <c r="B11" t="s">
        <v>24</v>
      </c>
      <c r="D11" s="10">
        <f t="shared" ref="D11:D25" si="1">D10+1</f>
        <v>2</v>
      </c>
      <c r="E11" t="s">
        <v>24</v>
      </c>
      <c r="G11" s="10">
        <f t="shared" ref="G11:G17" si="2">G10+1</f>
        <v>2</v>
      </c>
      <c r="H11" t="s">
        <v>24</v>
      </c>
      <c r="J11" s="10">
        <f>J10+1</f>
        <v>2</v>
      </c>
      <c r="K11" t="s">
        <v>81</v>
      </c>
      <c r="M11" s="10">
        <f>M10+1</f>
        <v>2</v>
      </c>
      <c r="N11" t="s">
        <v>81</v>
      </c>
    </row>
    <row r="12" spans="1:17" s="9" customFormat="1" x14ac:dyDescent="0.35">
      <c r="A12" s="10">
        <f t="shared" si="0"/>
        <v>3</v>
      </c>
      <c r="B12" t="s">
        <v>62</v>
      </c>
      <c r="D12" s="10">
        <f t="shared" si="1"/>
        <v>3</v>
      </c>
      <c r="E12" t="s">
        <v>62</v>
      </c>
      <c r="G12" s="10">
        <f t="shared" si="2"/>
        <v>3</v>
      </c>
      <c r="H12" t="s">
        <v>62</v>
      </c>
      <c r="J12" s="10">
        <f>J11+1</f>
        <v>3</v>
      </c>
      <c r="K12" t="s">
        <v>62</v>
      </c>
    </row>
    <row r="13" spans="1:17" s="9" customFormat="1" x14ac:dyDescent="0.35">
      <c r="A13" s="10">
        <f t="shared" si="0"/>
        <v>4</v>
      </c>
      <c r="B13" t="s">
        <v>56</v>
      </c>
      <c r="D13" s="10">
        <f t="shared" si="1"/>
        <v>4</v>
      </c>
      <c r="E13" t="s">
        <v>56</v>
      </c>
      <c r="G13" s="10">
        <f t="shared" si="2"/>
        <v>4</v>
      </c>
      <c r="H13" t="s">
        <v>56</v>
      </c>
      <c r="J13" s="10">
        <f>J12+1</f>
        <v>4</v>
      </c>
      <c r="K13" t="s">
        <v>24</v>
      </c>
    </row>
    <row r="14" spans="1:17" s="9" customFormat="1" x14ac:dyDescent="0.35">
      <c r="A14" s="10">
        <f t="shared" si="0"/>
        <v>5</v>
      </c>
      <c r="B14" t="s">
        <v>81</v>
      </c>
      <c r="D14" s="10">
        <f t="shared" si="1"/>
        <v>5</v>
      </c>
      <c r="E14" t="s">
        <v>81</v>
      </c>
      <c r="G14" s="10">
        <f t="shared" si="2"/>
        <v>5</v>
      </c>
      <c r="H14" s="9" t="s">
        <v>81</v>
      </c>
    </row>
    <row r="15" spans="1:17" s="9" customFormat="1" x14ac:dyDescent="0.35">
      <c r="A15" s="10">
        <f t="shared" si="0"/>
        <v>6</v>
      </c>
      <c r="B15" t="s">
        <v>37</v>
      </c>
      <c r="D15" s="10">
        <f t="shared" si="1"/>
        <v>6</v>
      </c>
      <c r="E15" t="s">
        <v>37</v>
      </c>
      <c r="G15" s="10">
        <f t="shared" si="2"/>
        <v>6</v>
      </c>
      <c r="H15" t="s">
        <v>37</v>
      </c>
    </row>
    <row r="16" spans="1:17" s="9" customFormat="1" x14ac:dyDescent="0.35">
      <c r="A16" s="10">
        <f t="shared" si="0"/>
        <v>7</v>
      </c>
      <c r="B16" t="s">
        <v>75</v>
      </c>
      <c r="D16" s="10">
        <f t="shared" si="1"/>
        <v>7</v>
      </c>
      <c r="E16" t="s">
        <v>75</v>
      </c>
      <c r="G16" s="10">
        <f t="shared" si="2"/>
        <v>7</v>
      </c>
      <c r="H16" t="s">
        <v>75</v>
      </c>
    </row>
    <row r="17" spans="1:11" s="9" customFormat="1" x14ac:dyDescent="0.35">
      <c r="A17" s="10">
        <f t="shared" si="0"/>
        <v>8</v>
      </c>
      <c r="B17" t="s">
        <v>43</v>
      </c>
      <c r="D17" s="10">
        <f t="shared" si="1"/>
        <v>8</v>
      </c>
      <c r="E17" t="s">
        <v>43</v>
      </c>
      <c r="G17" s="10">
        <f t="shared" si="2"/>
        <v>8</v>
      </c>
      <c r="H17" t="s">
        <v>43</v>
      </c>
    </row>
    <row r="18" spans="1:11" s="9" customFormat="1" x14ac:dyDescent="0.35">
      <c r="A18" s="10">
        <f t="shared" si="0"/>
        <v>9</v>
      </c>
      <c r="B18" t="s">
        <v>49</v>
      </c>
      <c r="D18" s="10">
        <f t="shared" si="1"/>
        <v>9</v>
      </c>
      <c r="E18" t="s">
        <v>49</v>
      </c>
    </row>
    <row r="19" spans="1:11" s="9" customFormat="1" x14ac:dyDescent="0.35">
      <c r="A19" s="10">
        <f t="shared" si="0"/>
        <v>10</v>
      </c>
      <c r="B19" t="s">
        <v>82</v>
      </c>
      <c r="D19" s="10">
        <f t="shared" si="1"/>
        <v>10</v>
      </c>
      <c r="E19" t="s">
        <v>82</v>
      </c>
    </row>
    <row r="20" spans="1:11" s="9" customFormat="1" x14ac:dyDescent="0.35">
      <c r="A20" s="10">
        <f t="shared" si="0"/>
        <v>11</v>
      </c>
      <c r="B20" t="s">
        <v>22</v>
      </c>
      <c r="D20" s="10">
        <f t="shared" si="1"/>
        <v>11</v>
      </c>
      <c r="E20" t="s">
        <v>22</v>
      </c>
      <c r="H20" s="12" t="s">
        <v>110</v>
      </c>
    </row>
    <row r="21" spans="1:11" s="9" customFormat="1" x14ac:dyDescent="0.35">
      <c r="A21" s="10">
        <f t="shared" si="0"/>
        <v>12</v>
      </c>
      <c r="B21" t="s">
        <v>59</v>
      </c>
      <c r="D21" s="10">
        <f t="shared" si="1"/>
        <v>12</v>
      </c>
      <c r="E21" t="s">
        <v>59</v>
      </c>
    </row>
    <row r="22" spans="1:11" s="9" customFormat="1" x14ac:dyDescent="0.35">
      <c r="A22" s="10">
        <f t="shared" si="0"/>
        <v>13</v>
      </c>
      <c r="B22" t="s">
        <v>78</v>
      </c>
      <c r="D22" s="10">
        <f t="shared" si="1"/>
        <v>13</v>
      </c>
      <c r="E22" t="s">
        <v>78</v>
      </c>
      <c r="H22" s="9" t="s">
        <v>113</v>
      </c>
      <c r="K22" s="11" t="s">
        <v>271</v>
      </c>
    </row>
    <row r="23" spans="1:11" s="9" customFormat="1" x14ac:dyDescent="0.35">
      <c r="A23" s="10">
        <f t="shared" si="0"/>
        <v>14</v>
      </c>
      <c r="B23" t="s">
        <v>25</v>
      </c>
      <c r="D23" s="10">
        <f t="shared" si="1"/>
        <v>14</v>
      </c>
      <c r="E23" t="s">
        <v>25</v>
      </c>
      <c r="H23" s="9" t="s">
        <v>116</v>
      </c>
      <c r="K23" s="11"/>
    </row>
    <row r="24" spans="1:11" s="9" customFormat="1" x14ac:dyDescent="0.35">
      <c r="A24" s="10">
        <f t="shared" si="0"/>
        <v>15</v>
      </c>
      <c r="B24" t="s">
        <v>44</v>
      </c>
      <c r="D24" s="10">
        <f t="shared" si="1"/>
        <v>15</v>
      </c>
      <c r="E24" t="s">
        <v>44</v>
      </c>
      <c r="H24" s="9" t="s">
        <v>119</v>
      </c>
      <c r="K24" s="11" t="s">
        <v>314</v>
      </c>
    </row>
    <row r="25" spans="1:11" s="9" customFormat="1" x14ac:dyDescent="0.35">
      <c r="A25" s="10">
        <f t="shared" si="0"/>
        <v>16</v>
      </c>
      <c r="B25" t="s">
        <v>12</v>
      </c>
      <c r="D25" s="10">
        <f t="shared" si="1"/>
        <v>16</v>
      </c>
      <c r="E25" t="s">
        <v>12</v>
      </c>
    </row>
    <row r="26" spans="1:11" s="9" customFormat="1" x14ac:dyDescent="0.35">
      <c r="A26" s="10">
        <f t="shared" si="0"/>
        <v>17</v>
      </c>
      <c r="B26" s="3" t="s">
        <v>38</v>
      </c>
      <c r="H26" s="9" t="s">
        <v>122</v>
      </c>
      <c r="K26" s="13">
        <v>283</v>
      </c>
    </row>
    <row r="27" spans="1:11" s="9" customFormat="1" x14ac:dyDescent="0.35">
      <c r="A27" s="10">
        <f t="shared" si="0"/>
        <v>18</v>
      </c>
      <c r="B27" s="11" t="s">
        <v>78</v>
      </c>
      <c r="H27" s="9" t="s">
        <v>124</v>
      </c>
    </row>
    <row r="28" spans="1:11" x14ac:dyDescent="0.35">
      <c r="A28" s="10">
        <f t="shared" si="0"/>
        <v>19</v>
      </c>
      <c r="B28" t="s">
        <v>31</v>
      </c>
    </row>
    <row r="29" spans="1:11" x14ac:dyDescent="0.35">
      <c r="A29" s="10">
        <f t="shared" si="0"/>
        <v>20</v>
      </c>
      <c r="B29" t="s">
        <v>40</v>
      </c>
    </row>
    <row r="30" spans="1:11" x14ac:dyDescent="0.35">
      <c r="A30" s="10">
        <f t="shared" si="0"/>
        <v>21</v>
      </c>
      <c r="B30" t="s">
        <v>65</v>
      </c>
    </row>
    <row r="31" spans="1:11" x14ac:dyDescent="0.35">
      <c r="A31" s="10">
        <f t="shared" si="0"/>
        <v>22</v>
      </c>
      <c r="B31" t="s">
        <v>132</v>
      </c>
    </row>
    <row r="32" spans="1:11" x14ac:dyDescent="0.35">
      <c r="A32" s="10">
        <f t="shared" si="0"/>
        <v>23</v>
      </c>
      <c r="B32" t="s">
        <v>70</v>
      </c>
    </row>
    <row r="33" spans="1:2" x14ac:dyDescent="0.35">
      <c r="A33" s="10">
        <f t="shared" si="0"/>
        <v>24</v>
      </c>
      <c r="B33" t="s">
        <v>313</v>
      </c>
    </row>
    <row r="34" spans="1:2" x14ac:dyDescent="0.35">
      <c r="A34" s="10">
        <f t="shared" si="0"/>
        <v>25</v>
      </c>
      <c r="B34" t="s">
        <v>10</v>
      </c>
    </row>
    <row r="35" spans="1:2" x14ac:dyDescent="0.35">
      <c r="A35" s="10">
        <f t="shared" si="0"/>
        <v>26</v>
      </c>
      <c r="B35" t="s">
        <v>253</v>
      </c>
    </row>
    <row r="36" spans="1:2" x14ac:dyDescent="0.35">
      <c r="A36" s="10">
        <f t="shared" si="0"/>
        <v>27</v>
      </c>
      <c r="B36" t="s">
        <v>50</v>
      </c>
    </row>
    <row r="37" spans="1:2" x14ac:dyDescent="0.35">
      <c r="A37" s="10">
        <f t="shared" si="0"/>
        <v>28</v>
      </c>
      <c r="B37" t="s">
        <v>46</v>
      </c>
    </row>
    <row r="38" spans="1:2" x14ac:dyDescent="0.35">
      <c r="A38" s="10">
        <f t="shared" si="0"/>
        <v>29</v>
      </c>
      <c r="B38" t="s">
        <v>32</v>
      </c>
    </row>
    <row r="39" spans="1:2" x14ac:dyDescent="0.35">
      <c r="A39" s="10">
        <f t="shared" si="0"/>
        <v>30</v>
      </c>
      <c r="B39" t="s">
        <v>51</v>
      </c>
    </row>
    <row r="40" spans="1:2" x14ac:dyDescent="0.35">
      <c r="A40" s="10">
        <f t="shared" si="0"/>
        <v>31</v>
      </c>
      <c r="B40" t="s">
        <v>58</v>
      </c>
    </row>
    <row r="41" spans="1:2" x14ac:dyDescent="0.35">
      <c r="A41" s="10">
        <f t="shared" si="0"/>
        <v>32</v>
      </c>
      <c r="B41" t="s">
        <v>39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AD49-229A-4C1C-815E-C146165C0DB6}">
  <sheetPr>
    <tabColor theme="8" tint="0.39997558519241921"/>
  </sheetPr>
  <dimension ref="A6:J82"/>
  <sheetViews>
    <sheetView topLeftCell="B69" workbookViewId="0">
      <selection activeCell="J81" sqref="J81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3</v>
      </c>
      <c r="F9" s="4">
        <v>1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0</v>
      </c>
      <c r="F10" s="4">
        <v>1</v>
      </c>
      <c r="G10" s="3" t="s">
        <v>13</v>
      </c>
      <c r="H10" s="2" t="str">
        <f t="shared" si="0"/>
        <v>A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1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1</v>
      </c>
      <c r="G12" s="3" t="s">
        <v>12</v>
      </c>
      <c r="H12" s="2" t="str">
        <f t="shared" si="0"/>
        <v>D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0</v>
      </c>
      <c r="F13" s="4">
        <v>2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0</v>
      </c>
      <c r="F14" s="4">
        <v>1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0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1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1</v>
      </c>
      <c r="F17" s="4">
        <v>0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1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1</v>
      </c>
      <c r="G19" s="3" t="s">
        <v>18</v>
      </c>
      <c r="H19" s="2" t="str">
        <f t="shared" si="0"/>
        <v>D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3</v>
      </c>
      <c r="F20" s="4">
        <v>1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3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1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2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2</v>
      </c>
      <c r="F28" s="4">
        <v>0</v>
      </c>
      <c r="G28" s="3" t="s">
        <v>33</v>
      </c>
      <c r="H28" s="2" t="str">
        <f t="shared" si="0"/>
        <v>H</v>
      </c>
      <c r="J28">
        <v>3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2</v>
      </c>
      <c r="G29" s="3" t="s">
        <v>32</v>
      </c>
      <c r="H29" s="2" t="str">
        <f t="shared" si="0"/>
        <v>D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3</v>
      </c>
      <c r="F30" s="4">
        <v>2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2</v>
      </c>
      <c r="F31" s="4">
        <v>1</v>
      </c>
      <c r="G31" s="3" t="s">
        <v>30</v>
      </c>
      <c r="H31" s="2" t="str">
        <f t="shared" si="0"/>
        <v>H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2</v>
      </c>
      <c r="F32" s="4">
        <v>1</v>
      </c>
      <c r="G32" s="3" t="s">
        <v>32</v>
      </c>
      <c r="H32" s="2" t="str">
        <f t="shared" si="0"/>
        <v>H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2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3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3</v>
      </c>
      <c r="F35" s="4">
        <v>1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2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2</v>
      </c>
      <c r="F37" s="4">
        <v>3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0</v>
      </c>
      <c r="F38" s="4">
        <v>1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1</v>
      </c>
      <c r="F39" s="4">
        <v>1</v>
      </c>
      <c r="G39" s="3" t="s">
        <v>44</v>
      </c>
      <c r="H39" s="2" t="str">
        <f t="shared" si="0"/>
        <v>D</v>
      </c>
      <c r="J39">
        <v>1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2</v>
      </c>
      <c r="F40" s="4">
        <v>1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0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1</v>
      </c>
      <c r="F42" s="4">
        <v>2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1</v>
      </c>
      <c r="G43" s="3" t="s">
        <v>45</v>
      </c>
      <c r="H43" s="2" t="str">
        <f t="shared" si="1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1</v>
      </c>
      <c r="F44" s="4">
        <v>3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3</v>
      </c>
      <c r="F45" s="4">
        <v>2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0</v>
      </c>
      <c r="F46" s="4">
        <v>2</v>
      </c>
      <c r="G46" s="3" t="s">
        <v>52</v>
      </c>
      <c r="H46" s="2" t="str">
        <f t="shared" si="1"/>
        <v>A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3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2</v>
      </c>
      <c r="F49" s="4">
        <v>0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2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4</v>
      </c>
      <c r="F51" s="4">
        <v>2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3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1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0</v>
      </c>
      <c r="F55" s="4">
        <v>1</v>
      </c>
      <c r="G55" s="3" t="s">
        <v>58</v>
      </c>
      <c r="H55" s="2" t="str">
        <f t="shared" si="1"/>
        <v>A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0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4</v>
      </c>
      <c r="F59" s="4">
        <v>2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1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1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3</v>
      </c>
      <c r="F63" s="4">
        <v>1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2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2</v>
      </c>
      <c r="F67" s="4">
        <v>2</v>
      </c>
      <c r="G67" s="3" t="s">
        <v>70</v>
      </c>
      <c r="H67" s="2" t="str">
        <f t="shared" si="1"/>
        <v>D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1</v>
      </c>
      <c r="F68" s="4">
        <v>4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3</v>
      </c>
      <c r="F69" s="4">
        <v>1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1</v>
      </c>
      <c r="G70" s="3" t="s">
        <v>78</v>
      </c>
      <c r="H70" s="2" t="str">
        <f t="shared" si="1"/>
        <v>D</v>
      </c>
      <c r="J70">
        <v>0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3</v>
      </c>
      <c r="F72" s="4">
        <v>2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0</v>
      </c>
      <c r="F74" s="4">
        <v>0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3</v>
      </c>
      <c r="F76" s="4">
        <v>0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1</v>
      </c>
      <c r="F77" s="4">
        <v>1</v>
      </c>
      <c r="G77" s="3" t="s">
        <v>83</v>
      </c>
      <c r="H77" s="2" t="str">
        <f t="shared" si="2"/>
        <v>D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1</v>
      </c>
      <c r="F79" s="4">
        <v>2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2</v>
      </c>
      <c r="G80" s="3" t="s">
        <v>83</v>
      </c>
      <c r="H80" s="2" t="str">
        <f t="shared" si="2"/>
        <v>D</v>
      </c>
      <c r="J80" s="54"/>
    </row>
    <row r="82" spans="10:10" x14ac:dyDescent="0.35">
      <c r="J82">
        <f>SUM(J8:J80)</f>
        <v>15</v>
      </c>
    </row>
  </sheetData>
  <pageMargins left="0.75" right="0.75" top="1" bottom="1" header="0.5" footer="0.5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8A00-2B06-4506-A403-2F562DB68691}">
  <sheetPr>
    <tabColor theme="8" tint="0.39997558519241921"/>
  </sheetPr>
  <dimension ref="A5:Q42"/>
  <sheetViews>
    <sheetView topLeftCell="A13" workbookViewId="0">
      <selection activeCell="J25" sqref="J25"/>
    </sheetView>
  </sheetViews>
  <sheetFormatPr defaultColWidth="8.7265625" defaultRowHeight="14.5" x14ac:dyDescent="0.35"/>
  <cols>
    <col min="1" max="1" width="3.1796875" customWidth="1"/>
    <col min="2" max="2" width="20.54296875" customWidth="1"/>
    <col min="3" max="3" width="1.7265625" customWidth="1"/>
    <col min="4" max="4" width="3.1796875" customWidth="1"/>
    <col min="5" max="5" width="20.54296875" customWidth="1"/>
    <col min="6" max="6" width="1.7265625" customWidth="1"/>
    <col min="7" max="7" width="3.1796875" customWidth="1"/>
    <col min="8" max="8" width="20.54296875" customWidth="1"/>
    <col min="9" max="9" width="1.7265625" customWidth="1"/>
    <col min="10" max="10" width="3.1796875" customWidth="1"/>
    <col min="11" max="11" width="20.54296875" customWidth="1"/>
    <col min="12" max="12" width="1.7265625" customWidth="1"/>
    <col min="13" max="13" width="4.08984375" customWidth="1"/>
    <col min="14" max="14" width="20.54296875" customWidth="1"/>
    <col min="15" max="15" width="1.7265625" customWidth="1"/>
    <col min="16" max="16" width="3.1796875" customWidth="1"/>
    <col min="17" max="17" width="20.5429687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93</v>
      </c>
      <c r="D10" s="10">
        <v>1</v>
      </c>
      <c r="E10" s="11" t="s">
        <v>93</v>
      </c>
      <c r="G10" s="10">
        <v>1</v>
      </c>
      <c r="H10" s="11" t="s">
        <v>279</v>
      </c>
      <c r="J10" s="10">
        <v>1</v>
      </c>
      <c r="K10" s="11" t="s">
        <v>279</v>
      </c>
      <c r="M10" s="10">
        <v>1</v>
      </c>
      <c r="N10" s="11" t="s">
        <v>105</v>
      </c>
      <c r="P10" s="10">
        <v>1</v>
      </c>
      <c r="Q10" s="11" t="s">
        <v>105</v>
      </c>
    </row>
    <row r="11" spans="1:17" s="9" customFormat="1" x14ac:dyDescent="0.35">
      <c r="A11" s="10">
        <f t="shared" ref="A11:A41" si="0">A10+1</f>
        <v>2</v>
      </c>
      <c r="B11" s="11" t="s">
        <v>312</v>
      </c>
      <c r="D11" s="10">
        <f t="shared" ref="D11:D25" si="1">D10+1</f>
        <v>2</v>
      </c>
      <c r="E11" s="11" t="s">
        <v>279</v>
      </c>
      <c r="G11" s="10">
        <f t="shared" ref="G11:G17" si="2">G10+1</f>
        <v>2</v>
      </c>
      <c r="H11" s="11" t="s">
        <v>91</v>
      </c>
      <c r="J11" s="10">
        <f>J10+1</f>
        <v>2</v>
      </c>
      <c r="K11" s="11" t="s">
        <v>270</v>
      </c>
      <c r="M11" s="10">
        <f>M10+1</f>
        <v>2</v>
      </c>
      <c r="N11" s="11" t="s">
        <v>270</v>
      </c>
    </row>
    <row r="12" spans="1:17" s="9" customFormat="1" x14ac:dyDescent="0.35">
      <c r="A12" s="10">
        <f t="shared" si="0"/>
        <v>3</v>
      </c>
      <c r="B12" s="11" t="s">
        <v>98</v>
      </c>
      <c r="D12" s="10">
        <f t="shared" si="1"/>
        <v>3</v>
      </c>
      <c r="E12" s="11" t="s">
        <v>275</v>
      </c>
      <c r="G12" s="10">
        <f t="shared" si="2"/>
        <v>3</v>
      </c>
      <c r="H12" s="11" t="s">
        <v>101</v>
      </c>
      <c r="J12" s="10">
        <f>J11+1</f>
        <v>3</v>
      </c>
      <c r="K12" s="11" t="s">
        <v>325</v>
      </c>
    </row>
    <row r="13" spans="1:17" s="9" customFormat="1" x14ac:dyDescent="0.35">
      <c r="A13" s="10">
        <f t="shared" si="0"/>
        <v>4</v>
      </c>
      <c r="B13" s="11" t="s">
        <v>203</v>
      </c>
      <c r="D13" s="10">
        <f t="shared" si="1"/>
        <v>4</v>
      </c>
      <c r="E13" s="11" t="s">
        <v>91</v>
      </c>
      <c r="G13" s="10">
        <f t="shared" si="2"/>
        <v>4</v>
      </c>
      <c r="H13" s="11" t="s">
        <v>324</v>
      </c>
      <c r="J13" s="10">
        <f>J12+1</f>
        <v>4</v>
      </c>
      <c r="K13" s="11" t="s">
        <v>101</v>
      </c>
    </row>
    <row r="14" spans="1:17" s="9" customFormat="1" x14ac:dyDescent="0.35">
      <c r="A14" s="10">
        <f t="shared" si="0"/>
        <v>5</v>
      </c>
      <c r="B14" s="11" t="s">
        <v>279</v>
      </c>
      <c r="D14" s="10">
        <f t="shared" si="1"/>
        <v>5</v>
      </c>
      <c r="E14" s="11" t="s">
        <v>101</v>
      </c>
      <c r="G14" s="10">
        <f t="shared" si="2"/>
        <v>5</v>
      </c>
      <c r="H14" s="11" t="s">
        <v>105</v>
      </c>
    </row>
    <row r="15" spans="1:17" s="9" customFormat="1" x14ac:dyDescent="0.35">
      <c r="A15" s="10">
        <f t="shared" si="0"/>
        <v>6</v>
      </c>
      <c r="B15" s="11" t="s">
        <v>275</v>
      </c>
      <c r="D15" s="10">
        <f t="shared" si="1"/>
        <v>6</v>
      </c>
      <c r="E15" s="11" t="s">
        <v>320</v>
      </c>
      <c r="G15" s="10">
        <f t="shared" si="2"/>
        <v>6</v>
      </c>
      <c r="H15" s="11" t="s">
        <v>323</v>
      </c>
    </row>
    <row r="16" spans="1:17" s="9" customFormat="1" x14ac:dyDescent="0.35">
      <c r="A16" s="10">
        <f t="shared" si="0"/>
        <v>7</v>
      </c>
      <c r="B16" s="11" t="s">
        <v>109</v>
      </c>
      <c r="D16" s="10">
        <f t="shared" si="1"/>
        <v>7</v>
      </c>
      <c r="E16" s="11" t="s">
        <v>269</v>
      </c>
      <c r="G16" s="10">
        <f t="shared" si="2"/>
        <v>7</v>
      </c>
      <c r="H16" s="11" t="s">
        <v>121</v>
      </c>
    </row>
    <row r="17" spans="1:13" s="9" customFormat="1" x14ac:dyDescent="0.35">
      <c r="A17" s="10">
        <f t="shared" si="0"/>
        <v>8</v>
      </c>
      <c r="B17" s="11" t="s">
        <v>322</v>
      </c>
      <c r="D17" s="10">
        <f t="shared" si="1"/>
        <v>8</v>
      </c>
      <c r="E17" s="11" t="s">
        <v>270</v>
      </c>
      <c r="G17" s="10">
        <f t="shared" si="2"/>
        <v>8</v>
      </c>
      <c r="H17" s="11" t="s">
        <v>265</v>
      </c>
    </row>
    <row r="18" spans="1:13" s="9" customFormat="1" x14ac:dyDescent="0.35">
      <c r="A18" s="10">
        <f t="shared" si="0"/>
        <v>9</v>
      </c>
      <c r="B18" s="11" t="s">
        <v>30</v>
      </c>
      <c r="D18" s="10">
        <f t="shared" si="1"/>
        <v>9</v>
      </c>
      <c r="E18" s="11" t="s">
        <v>319</v>
      </c>
    </row>
    <row r="19" spans="1:13" s="9" customFormat="1" x14ac:dyDescent="0.35">
      <c r="A19" s="10">
        <f t="shared" si="0"/>
        <v>10</v>
      </c>
      <c r="B19" s="11" t="s">
        <v>277</v>
      </c>
      <c r="D19" s="10">
        <f t="shared" si="1"/>
        <v>10</v>
      </c>
      <c r="E19" s="11" t="s">
        <v>105</v>
      </c>
    </row>
    <row r="20" spans="1:13" s="9" customFormat="1" x14ac:dyDescent="0.35">
      <c r="A20" s="10">
        <f t="shared" si="0"/>
        <v>11</v>
      </c>
      <c r="B20" s="11" t="s">
        <v>182</v>
      </c>
      <c r="D20" s="10">
        <f t="shared" si="1"/>
        <v>11</v>
      </c>
      <c r="E20" s="11" t="s">
        <v>265</v>
      </c>
      <c r="H20" s="12" t="s">
        <v>110</v>
      </c>
    </row>
    <row r="21" spans="1:13" s="9" customFormat="1" x14ac:dyDescent="0.35">
      <c r="A21" s="10">
        <f t="shared" si="0"/>
        <v>12</v>
      </c>
      <c r="B21" s="11" t="s">
        <v>91</v>
      </c>
      <c r="D21" s="10">
        <f t="shared" si="1"/>
        <v>12</v>
      </c>
      <c r="E21" s="11" t="s">
        <v>107</v>
      </c>
    </row>
    <row r="22" spans="1:13" s="9" customFormat="1" x14ac:dyDescent="0.35">
      <c r="A22" s="10">
        <f t="shared" si="0"/>
        <v>13</v>
      </c>
      <c r="B22" s="11" t="s">
        <v>94</v>
      </c>
      <c r="D22" s="10">
        <f t="shared" si="1"/>
        <v>13</v>
      </c>
      <c r="E22" s="11" t="s">
        <v>261</v>
      </c>
      <c r="H22" s="9" t="s">
        <v>113</v>
      </c>
      <c r="K22" s="11" t="s">
        <v>321</v>
      </c>
    </row>
    <row r="23" spans="1:13" s="9" customFormat="1" x14ac:dyDescent="0.35">
      <c r="A23" s="10">
        <f t="shared" si="0"/>
        <v>14</v>
      </c>
      <c r="B23" s="11" t="s">
        <v>274</v>
      </c>
      <c r="D23" s="10">
        <f t="shared" si="1"/>
        <v>14</v>
      </c>
      <c r="E23" s="11" t="s">
        <v>277</v>
      </c>
      <c r="H23" s="9" t="s">
        <v>116</v>
      </c>
      <c r="K23" s="11" t="s">
        <v>326</v>
      </c>
      <c r="M23" s="9">
        <v>5</v>
      </c>
    </row>
    <row r="24" spans="1:13" s="9" customFormat="1" x14ac:dyDescent="0.35">
      <c r="A24" s="10">
        <f t="shared" si="0"/>
        <v>15</v>
      </c>
      <c r="B24" s="11" t="s">
        <v>142</v>
      </c>
      <c r="D24" s="10">
        <f t="shared" si="1"/>
        <v>15</v>
      </c>
      <c r="E24" s="11" t="s">
        <v>121</v>
      </c>
      <c r="H24" s="9" t="s">
        <v>119</v>
      </c>
      <c r="K24" s="11" t="s">
        <v>321</v>
      </c>
      <c r="M24" s="61"/>
    </row>
    <row r="25" spans="1:13" s="9" customFormat="1" x14ac:dyDescent="0.35">
      <c r="A25" s="10">
        <f t="shared" si="0"/>
        <v>16</v>
      </c>
      <c r="B25" s="11" t="s">
        <v>101</v>
      </c>
      <c r="D25" s="10">
        <f t="shared" si="1"/>
        <v>16</v>
      </c>
      <c r="E25" s="11" t="s">
        <v>129</v>
      </c>
    </row>
    <row r="26" spans="1:13" s="9" customFormat="1" x14ac:dyDescent="0.35">
      <c r="A26" s="10">
        <f t="shared" si="0"/>
        <v>17</v>
      </c>
      <c r="B26" s="11" t="s">
        <v>320</v>
      </c>
      <c r="H26" s="9" t="s">
        <v>122</v>
      </c>
      <c r="K26" s="13">
        <v>231</v>
      </c>
      <c r="M26" s="9">
        <f>SUM(M22:M24)</f>
        <v>5</v>
      </c>
    </row>
    <row r="27" spans="1:13" s="9" customFormat="1" x14ac:dyDescent="0.35">
      <c r="A27" s="10">
        <f t="shared" si="0"/>
        <v>18</v>
      </c>
      <c r="B27" s="11" t="s">
        <v>270</v>
      </c>
      <c r="H27" s="9" t="s">
        <v>124</v>
      </c>
    </row>
    <row r="28" spans="1:13" x14ac:dyDescent="0.35">
      <c r="A28" s="10">
        <f t="shared" si="0"/>
        <v>19</v>
      </c>
      <c r="B28" s="11" t="s">
        <v>269</v>
      </c>
    </row>
    <row r="29" spans="1:13" x14ac:dyDescent="0.35">
      <c r="A29" s="10">
        <f t="shared" si="0"/>
        <v>20</v>
      </c>
      <c r="B29" s="11" t="s">
        <v>121</v>
      </c>
    </row>
    <row r="30" spans="1:13" x14ac:dyDescent="0.35">
      <c r="A30" s="10">
        <f t="shared" si="0"/>
        <v>21</v>
      </c>
      <c r="B30" s="11" t="s">
        <v>319</v>
      </c>
    </row>
    <row r="31" spans="1:13" x14ac:dyDescent="0.35">
      <c r="A31" s="10">
        <f t="shared" si="0"/>
        <v>22</v>
      </c>
      <c r="B31" s="11" t="s">
        <v>261</v>
      </c>
    </row>
    <row r="32" spans="1:13" x14ac:dyDescent="0.35">
      <c r="A32" s="10">
        <f t="shared" si="0"/>
        <v>23</v>
      </c>
      <c r="B32" s="11" t="s">
        <v>105</v>
      </c>
    </row>
    <row r="33" spans="1:2" x14ac:dyDescent="0.35">
      <c r="A33" s="10">
        <f t="shared" si="0"/>
        <v>24</v>
      </c>
      <c r="B33" s="11" t="s">
        <v>129</v>
      </c>
    </row>
    <row r="34" spans="1:2" x14ac:dyDescent="0.35">
      <c r="A34" s="10">
        <f t="shared" si="0"/>
        <v>25</v>
      </c>
      <c r="B34" s="11" t="s">
        <v>266</v>
      </c>
    </row>
    <row r="35" spans="1:2" x14ac:dyDescent="0.35">
      <c r="A35" s="10">
        <f t="shared" si="0"/>
        <v>26</v>
      </c>
      <c r="B35" s="11" t="s">
        <v>265</v>
      </c>
    </row>
    <row r="36" spans="1:2" x14ac:dyDescent="0.35">
      <c r="A36" s="10">
        <f t="shared" si="0"/>
        <v>27</v>
      </c>
      <c r="B36" s="11" t="s">
        <v>107</v>
      </c>
    </row>
    <row r="37" spans="1:2" x14ac:dyDescent="0.35">
      <c r="A37" s="10">
        <f t="shared" si="0"/>
        <v>28</v>
      </c>
      <c r="B37" s="11" t="s">
        <v>281</v>
      </c>
    </row>
    <row r="38" spans="1:2" x14ac:dyDescent="0.35">
      <c r="A38" s="10">
        <f t="shared" si="0"/>
        <v>29</v>
      </c>
      <c r="B38" s="11" t="s">
        <v>318</v>
      </c>
    </row>
    <row r="39" spans="1:2" x14ac:dyDescent="0.35">
      <c r="A39" s="10">
        <f t="shared" si="0"/>
        <v>30</v>
      </c>
      <c r="B39" s="11" t="s">
        <v>260</v>
      </c>
    </row>
    <row r="40" spans="1:2" x14ac:dyDescent="0.35">
      <c r="A40" s="10">
        <f t="shared" si="0"/>
        <v>31</v>
      </c>
      <c r="B40" s="11" t="s">
        <v>97</v>
      </c>
    </row>
    <row r="41" spans="1:2" x14ac:dyDescent="0.35">
      <c r="A41" s="10">
        <f t="shared" si="0"/>
        <v>32</v>
      </c>
      <c r="B41" s="11" t="s">
        <v>183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E2D3-D1BD-4636-A2BA-6185E9E17F93}">
  <sheetPr>
    <tabColor theme="8" tint="0.39997558519241921"/>
  </sheetPr>
  <dimension ref="A6:J82"/>
  <sheetViews>
    <sheetView topLeftCell="A64" zoomScale="97" workbookViewId="0">
      <selection activeCell="J78" sqref="J78"/>
    </sheetView>
  </sheetViews>
  <sheetFormatPr defaultColWidth="8.81640625"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1</v>
      </c>
      <c r="G9" s="3" t="s">
        <v>11</v>
      </c>
      <c r="H9" s="2" t="str">
        <f t="shared" ref="H9:H46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3</v>
      </c>
      <c r="F10" s="4">
        <v>1</v>
      </c>
      <c r="G10" s="3" t="s">
        <v>13</v>
      </c>
      <c r="H10" s="2" t="str">
        <f t="shared" si="0"/>
        <v>H</v>
      </c>
      <c r="J10">
        <v>1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3</v>
      </c>
      <c r="G12" s="3" t="s">
        <v>12</v>
      </c>
      <c r="H12" s="2" t="str">
        <f t="shared" si="0"/>
        <v>A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2</v>
      </c>
      <c r="F13" s="4">
        <v>2</v>
      </c>
      <c r="G13" s="3" t="s">
        <v>10</v>
      </c>
      <c r="H13" s="2" t="str">
        <f t="shared" si="0"/>
        <v>D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0</v>
      </c>
      <c r="F14" s="4">
        <v>2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1</v>
      </c>
      <c r="F15" s="4">
        <v>3</v>
      </c>
      <c r="G15" s="3" t="s">
        <v>19</v>
      </c>
      <c r="H15" s="2" t="str">
        <f t="shared" si="0"/>
        <v>A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1</v>
      </c>
      <c r="F16" s="4">
        <v>3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1</v>
      </c>
      <c r="F17" s="4">
        <v>0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1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0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1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3</v>
      </c>
      <c r="F21" s="4">
        <v>2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1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3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1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3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3</v>
      </c>
      <c r="G30" s="3" t="s">
        <v>31</v>
      </c>
      <c r="H30" s="2" t="str">
        <f t="shared" si="0"/>
        <v>A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3</v>
      </c>
      <c r="F31" s="4">
        <v>1</v>
      </c>
      <c r="G31" s="3" t="s">
        <v>30</v>
      </c>
      <c r="H31" s="2" t="str">
        <f t="shared" si="0"/>
        <v>H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0</v>
      </c>
      <c r="G32" s="3" t="s">
        <v>32</v>
      </c>
      <c r="H32" s="2" t="str">
        <f t="shared" si="0"/>
        <v>H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2</v>
      </c>
      <c r="F33" s="4">
        <v>1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3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4</v>
      </c>
      <c r="F35" s="4">
        <v>1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1</v>
      </c>
      <c r="F36" s="4">
        <v>1</v>
      </c>
      <c r="G36" s="3" t="s">
        <v>38</v>
      </c>
      <c r="H36" s="2" t="str">
        <f t="shared" si="0"/>
        <v>D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3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3</v>
      </c>
      <c r="F38" s="4">
        <v>2</v>
      </c>
      <c r="G38" s="3" t="s">
        <v>39</v>
      </c>
      <c r="H38" s="2" t="str">
        <f t="shared" si="0"/>
        <v>H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2</v>
      </c>
      <c r="G39" s="3" t="s">
        <v>44</v>
      </c>
      <c r="H39" s="2" t="str">
        <f t="shared" si="0"/>
        <v>D</v>
      </c>
      <c r="J39">
        <v>3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2</v>
      </c>
      <c r="F40" s="4">
        <v>1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1</v>
      </c>
      <c r="F41" s="4">
        <v>1</v>
      </c>
      <c r="G41" s="3" t="s">
        <v>45</v>
      </c>
      <c r="H41" s="2" t="str">
        <f t="shared" si="0"/>
        <v>D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1</v>
      </c>
      <c r="F42" s="4">
        <v>3</v>
      </c>
      <c r="G42" s="3" t="s">
        <v>44</v>
      </c>
      <c r="H42" s="2" t="str">
        <f t="shared" si="0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2</v>
      </c>
      <c r="G43" s="3" t="s">
        <v>45</v>
      </c>
      <c r="H43" s="2" t="str">
        <f t="shared" si="0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1</v>
      </c>
      <c r="F44" s="4">
        <v>3</v>
      </c>
      <c r="G44" s="3" t="s">
        <v>43</v>
      </c>
      <c r="H44" s="2" t="str">
        <f t="shared" si="0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1</v>
      </c>
      <c r="G45" s="3" t="s">
        <v>50</v>
      </c>
      <c r="H45" s="2" t="str">
        <f t="shared" si="0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0</v>
      </c>
      <c r="G46" s="3" t="s">
        <v>52</v>
      </c>
      <c r="H46" s="2" t="str">
        <f t="shared" si="0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30">
        <v>2</v>
      </c>
      <c r="F47" s="4">
        <v>1</v>
      </c>
      <c r="G47" s="3" t="s">
        <v>51</v>
      </c>
      <c r="H47" s="2" t="e">
        <f>IF(AND(F47&lt;&gt;"",#REF!&lt;&gt;""),IF(F47&gt;#REF!,"H",IF(F47&lt;#REF!,"A","D")),"")</f>
        <v>#REF!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3</v>
      </c>
      <c r="G48" s="3" t="s">
        <v>50</v>
      </c>
      <c r="H48" s="2" t="str">
        <f t="shared" ref="H48:H80" si="1">IF(AND(E48&lt;&gt;"",F48&lt;&gt;""),IF(E48&gt;F48,"H",IF(E48&lt;F48,"A","D")),"")</f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3</v>
      </c>
      <c r="F49" s="4">
        <v>1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1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4</v>
      </c>
      <c r="F51" s="4">
        <v>1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3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4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3</v>
      </c>
      <c r="F54" s="4">
        <v>1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2</v>
      </c>
      <c r="G55" s="3" t="s">
        <v>58</v>
      </c>
      <c r="H55" s="2" t="str">
        <f t="shared" si="1"/>
        <v>A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2</v>
      </c>
      <c r="F56" s="4">
        <v>2</v>
      </c>
      <c r="G56" s="3" t="s">
        <v>56</v>
      </c>
      <c r="H56" s="2" t="str">
        <f t="shared" si="1"/>
        <v>D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1</v>
      </c>
      <c r="F58" s="4">
        <v>3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4</v>
      </c>
      <c r="F59" s="4">
        <v>1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3</v>
      </c>
      <c r="F60" s="4">
        <v>1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2</v>
      </c>
      <c r="F61" s="4">
        <v>2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3</v>
      </c>
      <c r="F62" s="4">
        <v>1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3</v>
      </c>
      <c r="F63" s="4">
        <v>1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3</v>
      </c>
      <c r="F64" s="4">
        <v>1</v>
      </c>
      <c r="G64" s="3" t="s">
        <v>71</v>
      </c>
      <c r="H64" s="2" t="str">
        <f t="shared" si="1"/>
        <v>H</v>
      </c>
      <c r="J64">
        <v>3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3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1</v>
      </c>
      <c r="F66" s="4">
        <v>2</v>
      </c>
      <c r="G66" s="3" t="s">
        <v>69</v>
      </c>
      <c r="H66" s="2" t="str">
        <f t="shared" si="1"/>
        <v>A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2</v>
      </c>
      <c r="F67" s="4">
        <v>2</v>
      </c>
      <c r="G67" s="3" t="s">
        <v>70</v>
      </c>
      <c r="H67" s="2" t="str">
        <f t="shared" si="1"/>
        <v>D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4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3</v>
      </c>
      <c r="F69" s="4">
        <v>1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3</v>
      </c>
      <c r="G70" s="3" t="s">
        <v>78</v>
      </c>
      <c r="H70" s="2" t="str">
        <f t="shared" si="1"/>
        <v>A</v>
      </c>
      <c r="J70">
        <v>3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3</v>
      </c>
      <c r="F71" s="4">
        <v>1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1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3</v>
      </c>
      <c r="G73" s="3" t="s">
        <v>75</v>
      </c>
      <c r="H73" s="2" t="str">
        <f t="shared" si="1"/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2</v>
      </c>
      <c r="F74" s="4">
        <v>1</v>
      </c>
      <c r="G74" s="3" t="s">
        <v>77</v>
      </c>
      <c r="H74" s="2" t="str">
        <f t="shared" si="1"/>
        <v>H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1</v>
      </c>
      <c r="F75" s="4">
        <v>1</v>
      </c>
      <c r="G75" s="3" t="s">
        <v>82</v>
      </c>
      <c r="H75" s="2" t="str">
        <f t="shared" si="1"/>
        <v>D</v>
      </c>
      <c r="J75">
        <v>0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2</v>
      </c>
      <c r="G76" s="3" t="s">
        <v>84</v>
      </c>
      <c r="H76" s="2" t="str">
        <f t="shared" si="1"/>
        <v>D</v>
      </c>
      <c r="J76">
        <v>0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2</v>
      </c>
      <c r="G77" s="3" t="s">
        <v>83</v>
      </c>
      <c r="H77" s="2" t="str">
        <f t="shared" si="1"/>
        <v>D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2</v>
      </c>
      <c r="F78" s="4">
        <v>1</v>
      </c>
      <c r="G78" s="3" t="s">
        <v>82</v>
      </c>
      <c r="H78" s="2" t="str">
        <f t="shared" si="1"/>
        <v>H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1</v>
      </c>
      <c r="F79" s="4">
        <v>2</v>
      </c>
      <c r="G79" s="3" t="s">
        <v>81</v>
      </c>
      <c r="H79" s="2" t="str">
        <f t="shared" si="1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2</v>
      </c>
      <c r="G80" s="3" t="s">
        <v>83</v>
      </c>
      <c r="H80" s="2" t="str">
        <f t="shared" si="1"/>
        <v>A</v>
      </c>
      <c r="J80" s="54"/>
    </row>
    <row r="82" spans="10:10" x14ac:dyDescent="0.35">
      <c r="J82">
        <f>SUM(J8:J80)</f>
        <v>18</v>
      </c>
    </row>
  </sheetData>
  <pageMargins left="0.75" right="0.75" top="1" bottom="1" header="0.5" footer="0.5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19FB-8860-4C0F-8B75-BFC2BD9F876C}">
  <sheetPr>
    <tabColor theme="8" tint="0.39997558519241921"/>
  </sheetPr>
  <dimension ref="A5:Q42"/>
  <sheetViews>
    <sheetView topLeftCell="A6" zoomScale="101" workbookViewId="0">
      <selection activeCell="H23" sqref="H23"/>
    </sheetView>
  </sheetViews>
  <sheetFormatPr defaultColWidth="8.6328125" defaultRowHeight="14.5" x14ac:dyDescent="0.35"/>
  <cols>
    <col min="1" max="1" width="3.36328125" customWidth="1"/>
    <col min="2" max="2" width="20.6328125" customWidth="1"/>
    <col min="3" max="3" width="1.6328125" customWidth="1"/>
    <col min="4" max="4" width="3.36328125" customWidth="1"/>
    <col min="5" max="5" width="20.6328125" customWidth="1"/>
    <col min="6" max="6" width="1.6328125" customWidth="1"/>
    <col min="7" max="7" width="3.36328125" customWidth="1"/>
    <col min="8" max="8" width="20.6328125" customWidth="1"/>
    <col min="9" max="9" width="1.6328125" customWidth="1"/>
    <col min="10" max="10" width="3.36328125" customWidth="1"/>
    <col min="11" max="11" width="20.6328125" customWidth="1"/>
    <col min="12" max="12" width="1.6328125" customWidth="1"/>
    <col min="13" max="13" width="3.36328125" customWidth="1"/>
    <col min="14" max="14" width="20.6328125" customWidth="1"/>
    <col min="15" max="15" width="1.6328125" customWidth="1"/>
    <col min="16" max="16" width="3.3632812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10</v>
      </c>
      <c r="G10" s="10">
        <v>1</v>
      </c>
      <c r="H10" s="11" t="s">
        <v>10</v>
      </c>
      <c r="J10" s="10">
        <v>1</v>
      </c>
      <c r="K10" s="11" t="s">
        <v>37</v>
      </c>
      <c r="M10" s="10">
        <v>1</v>
      </c>
      <c r="N10" s="11" t="s">
        <v>62</v>
      </c>
      <c r="P10" s="10">
        <v>1</v>
      </c>
      <c r="Q10" s="11" t="s">
        <v>37</v>
      </c>
    </row>
    <row r="11" spans="1:17" s="9" customFormat="1" x14ac:dyDescent="0.35">
      <c r="A11" s="10">
        <f t="shared" ref="A11:A41" si="0">A10+1</f>
        <v>2</v>
      </c>
      <c r="B11" s="11" t="s">
        <v>22</v>
      </c>
      <c r="D11" s="10">
        <f t="shared" ref="D11:D25" si="1">D10+1</f>
        <v>2</v>
      </c>
      <c r="E11" s="11" t="s">
        <v>24</v>
      </c>
      <c r="G11" s="10">
        <f t="shared" ref="G11:G17" si="2">G10+1</f>
        <v>2</v>
      </c>
      <c r="H11" s="11" t="s">
        <v>24</v>
      </c>
      <c r="J11" s="10">
        <f>J10+1</f>
        <v>2</v>
      </c>
      <c r="K11" s="11" t="s">
        <v>56</v>
      </c>
      <c r="M11" s="10">
        <f>M10+1</f>
        <v>2</v>
      </c>
      <c r="N11" s="11" t="s">
        <v>68</v>
      </c>
    </row>
    <row r="12" spans="1:17" s="9" customFormat="1" x14ac:dyDescent="0.35">
      <c r="A12" s="10">
        <f t="shared" si="0"/>
        <v>3</v>
      </c>
      <c r="B12" s="11" t="s">
        <v>24</v>
      </c>
      <c r="D12" s="10">
        <f t="shared" si="1"/>
        <v>3</v>
      </c>
      <c r="E12" s="11" t="s">
        <v>30</v>
      </c>
      <c r="G12" s="10">
        <f t="shared" si="2"/>
        <v>3</v>
      </c>
      <c r="H12" s="11" t="s">
        <v>37</v>
      </c>
      <c r="J12" s="10">
        <f>J11+1</f>
        <v>3</v>
      </c>
      <c r="K12" s="11" t="s">
        <v>62</v>
      </c>
    </row>
    <row r="13" spans="1:17" s="9" customFormat="1" x14ac:dyDescent="0.35">
      <c r="A13" s="10">
        <f t="shared" si="0"/>
        <v>4</v>
      </c>
      <c r="B13" s="11" t="s">
        <v>30</v>
      </c>
      <c r="D13" s="10">
        <f t="shared" si="1"/>
        <v>4</v>
      </c>
      <c r="E13" s="11" t="s">
        <v>37</v>
      </c>
      <c r="G13" s="10">
        <f t="shared" si="2"/>
        <v>4</v>
      </c>
      <c r="H13" s="11" t="s">
        <v>56</v>
      </c>
      <c r="J13" s="10">
        <f>J12+1</f>
        <v>4</v>
      </c>
      <c r="K13" s="11" t="s">
        <v>68</v>
      </c>
    </row>
    <row r="14" spans="1:17" s="9" customFormat="1" x14ac:dyDescent="0.35">
      <c r="A14" s="10">
        <f t="shared" si="0"/>
        <v>5</v>
      </c>
      <c r="B14" s="11" t="s">
        <v>37</v>
      </c>
      <c r="D14" s="10">
        <f t="shared" si="1"/>
        <v>5</v>
      </c>
      <c r="E14" s="11" t="s">
        <v>45</v>
      </c>
      <c r="G14" s="10">
        <f t="shared" si="2"/>
        <v>5</v>
      </c>
      <c r="H14" s="11" t="s">
        <v>62</v>
      </c>
    </row>
    <row r="15" spans="1:17" s="9" customFormat="1" x14ac:dyDescent="0.35">
      <c r="A15" s="10">
        <f t="shared" si="0"/>
        <v>6</v>
      </c>
      <c r="B15" s="11" t="s">
        <v>45</v>
      </c>
      <c r="D15" s="10">
        <f t="shared" si="1"/>
        <v>6</v>
      </c>
      <c r="E15" s="11" t="s">
        <v>49</v>
      </c>
      <c r="G15" s="10">
        <f t="shared" si="2"/>
        <v>6</v>
      </c>
      <c r="H15" s="11" t="s">
        <v>68</v>
      </c>
    </row>
    <row r="16" spans="1:17" s="9" customFormat="1" x14ac:dyDescent="0.35">
      <c r="A16" s="10">
        <f t="shared" si="0"/>
        <v>7</v>
      </c>
      <c r="B16" s="11" t="s">
        <v>49</v>
      </c>
      <c r="D16" s="10">
        <f t="shared" si="1"/>
        <v>7</v>
      </c>
      <c r="E16" s="11" t="s">
        <v>56</v>
      </c>
      <c r="G16" s="10">
        <f t="shared" si="2"/>
        <v>7</v>
      </c>
      <c r="H16" s="11" t="s">
        <v>44</v>
      </c>
    </row>
    <row r="17" spans="1:11" s="9" customFormat="1" x14ac:dyDescent="0.35">
      <c r="A17" s="10">
        <f t="shared" si="0"/>
        <v>8</v>
      </c>
      <c r="B17" s="11" t="s">
        <v>56</v>
      </c>
      <c r="D17" s="10">
        <f t="shared" si="1"/>
        <v>8</v>
      </c>
      <c r="E17" s="11" t="s">
        <v>62</v>
      </c>
      <c r="G17" s="10">
        <f t="shared" si="2"/>
        <v>8</v>
      </c>
      <c r="H17" s="11" t="s">
        <v>12</v>
      </c>
    </row>
    <row r="18" spans="1:11" s="9" customFormat="1" x14ac:dyDescent="0.35">
      <c r="A18" s="10">
        <f t="shared" si="0"/>
        <v>9</v>
      </c>
      <c r="B18" s="11" t="s">
        <v>62</v>
      </c>
      <c r="D18" s="10">
        <f t="shared" si="1"/>
        <v>9</v>
      </c>
      <c r="E18" s="11" t="s">
        <v>68</v>
      </c>
    </row>
    <row r="19" spans="1:11" s="9" customFormat="1" x14ac:dyDescent="0.35">
      <c r="A19" s="10">
        <f t="shared" si="0"/>
        <v>10</v>
      </c>
      <c r="B19" s="11" t="s">
        <v>68</v>
      </c>
      <c r="D19" s="10">
        <f t="shared" si="1"/>
        <v>10</v>
      </c>
      <c r="E19" s="11" t="s">
        <v>75</v>
      </c>
    </row>
    <row r="20" spans="1:11" s="9" customFormat="1" x14ac:dyDescent="0.35">
      <c r="A20" s="10">
        <f t="shared" si="0"/>
        <v>11</v>
      </c>
      <c r="B20" s="11" t="s">
        <v>75</v>
      </c>
      <c r="D20" s="10">
        <f t="shared" si="1"/>
        <v>11</v>
      </c>
      <c r="E20" s="11" t="s">
        <v>81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81</v>
      </c>
      <c r="D21" s="10">
        <f t="shared" si="1"/>
        <v>12</v>
      </c>
      <c r="E21" s="11" t="s">
        <v>44</v>
      </c>
    </row>
    <row r="22" spans="1:11" s="9" customFormat="1" x14ac:dyDescent="0.35">
      <c r="A22" s="10">
        <f t="shared" si="0"/>
        <v>13</v>
      </c>
      <c r="B22" s="11" t="s">
        <v>13</v>
      </c>
      <c r="D22" s="10">
        <f t="shared" si="1"/>
        <v>13</v>
      </c>
      <c r="E22" s="11" t="s">
        <v>78</v>
      </c>
      <c r="H22" s="9" t="s">
        <v>113</v>
      </c>
      <c r="K22" s="11" t="s">
        <v>329</v>
      </c>
    </row>
    <row r="23" spans="1:11" s="9" customFormat="1" x14ac:dyDescent="0.35">
      <c r="A23" s="10">
        <f t="shared" si="0"/>
        <v>14</v>
      </c>
      <c r="B23" s="11" t="s">
        <v>19</v>
      </c>
      <c r="D23" s="10">
        <f t="shared" si="1"/>
        <v>14</v>
      </c>
      <c r="E23" s="11" t="s">
        <v>12</v>
      </c>
      <c r="H23" s="9" t="s">
        <v>116</v>
      </c>
      <c r="K23" s="11" t="s">
        <v>11</v>
      </c>
    </row>
    <row r="24" spans="1:11" s="9" customFormat="1" x14ac:dyDescent="0.35">
      <c r="A24" s="10">
        <f t="shared" si="0"/>
        <v>15</v>
      </c>
      <c r="B24" s="11" t="s">
        <v>25</v>
      </c>
      <c r="D24" s="10">
        <f t="shared" si="1"/>
        <v>15</v>
      </c>
      <c r="E24" s="11" t="s">
        <v>33</v>
      </c>
      <c r="H24" s="9" t="s">
        <v>119</v>
      </c>
      <c r="K24" s="11" t="s">
        <v>328</v>
      </c>
    </row>
    <row r="25" spans="1:11" s="9" customFormat="1" x14ac:dyDescent="0.35">
      <c r="A25" s="10">
        <f t="shared" si="0"/>
        <v>16</v>
      </c>
      <c r="B25" s="11" t="s">
        <v>31</v>
      </c>
      <c r="D25" s="10">
        <f t="shared" si="1"/>
        <v>16</v>
      </c>
      <c r="E25" s="11" t="s">
        <v>43</v>
      </c>
    </row>
    <row r="26" spans="1:11" s="9" customFormat="1" x14ac:dyDescent="0.35">
      <c r="A26" s="10">
        <f t="shared" si="0"/>
        <v>17</v>
      </c>
      <c r="B26" s="11" t="s">
        <v>40</v>
      </c>
      <c r="H26" s="9" t="s">
        <v>122</v>
      </c>
      <c r="K26" s="13">
        <v>234</v>
      </c>
    </row>
    <row r="27" spans="1:11" s="9" customFormat="1" x14ac:dyDescent="0.35">
      <c r="A27" s="10">
        <f t="shared" si="0"/>
        <v>18</v>
      </c>
      <c r="B27" s="11" t="s">
        <v>44</v>
      </c>
      <c r="H27" s="9" t="s">
        <v>124</v>
      </c>
    </row>
    <row r="28" spans="1:11" x14ac:dyDescent="0.35">
      <c r="A28" s="10">
        <f t="shared" si="0"/>
        <v>19</v>
      </c>
      <c r="B28" s="11" t="s">
        <v>50</v>
      </c>
    </row>
    <row r="29" spans="1:11" x14ac:dyDescent="0.35">
      <c r="A29" s="10">
        <f t="shared" si="0"/>
        <v>20</v>
      </c>
      <c r="B29" s="11" t="s">
        <v>59</v>
      </c>
    </row>
    <row r="30" spans="1:11" x14ac:dyDescent="0.35">
      <c r="A30" s="10">
        <f t="shared" si="0"/>
        <v>21</v>
      </c>
      <c r="B30" s="11" t="s">
        <v>65</v>
      </c>
    </row>
    <row r="31" spans="1:11" x14ac:dyDescent="0.35">
      <c r="A31" s="10">
        <f t="shared" si="0"/>
        <v>22</v>
      </c>
      <c r="B31" s="11" t="s">
        <v>70</v>
      </c>
    </row>
    <row r="32" spans="1:11" x14ac:dyDescent="0.35">
      <c r="A32" s="10">
        <f t="shared" si="0"/>
        <v>23</v>
      </c>
      <c r="B32" s="11" t="s">
        <v>78</v>
      </c>
    </row>
    <row r="33" spans="1:2" x14ac:dyDescent="0.35">
      <c r="A33" s="10">
        <f t="shared" si="0"/>
        <v>24</v>
      </c>
      <c r="B33" s="11" t="s">
        <v>83</v>
      </c>
    </row>
    <row r="34" spans="1:2" x14ac:dyDescent="0.35">
      <c r="A34" s="10">
        <f t="shared" si="0"/>
        <v>25</v>
      </c>
      <c r="B34" s="11" t="s">
        <v>12</v>
      </c>
    </row>
    <row r="35" spans="1:2" x14ac:dyDescent="0.35">
      <c r="A35" s="10">
        <f t="shared" si="0"/>
        <v>26</v>
      </c>
      <c r="B35" s="11" t="s">
        <v>63</v>
      </c>
    </row>
    <row r="36" spans="1:2" x14ac:dyDescent="0.35">
      <c r="A36" s="10">
        <f t="shared" si="0"/>
        <v>27</v>
      </c>
      <c r="B36" s="11" t="s">
        <v>82</v>
      </c>
    </row>
    <row r="37" spans="1:2" x14ac:dyDescent="0.35">
      <c r="A37" s="10">
        <f t="shared" si="0"/>
        <v>28</v>
      </c>
      <c r="B37" s="11" t="s">
        <v>33</v>
      </c>
    </row>
    <row r="38" spans="1:2" x14ac:dyDescent="0.35">
      <c r="A38" s="10">
        <f t="shared" si="0"/>
        <v>29</v>
      </c>
      <c r="B38" s="11" t="s">
        <v>38</v>
      </c>
    </row>
    <row r="39" spans="1:2" x14ac:dyDescent="0.35">
      <c r="A39" s="10">
        <f t="shared" si="0"/>
        <v>30</v>
      </c>
      <c r="B39" s="11" t="s">
        <v>43</v>
      </c>
    </row>
    <row r="40" spans="1:2" x14ac:dyDescent="0.35">
      <c r="A40" s="10">
        <f t="shared" si="0"/>
        <v>31</v>
      </c>
      <c r="B40" s="11" t="s">
        <v>51</v>
      </c>
    </row>
    <row r="41" spans="1:2" x14ac:dyDescent="0.35">
      <c r="A41" s="10">
        <f t="shared" si="0"/>
        <v>32</v>
      </c>
      <c r="B41" s="11" t="s">
        <v>58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FB6A-57C5-4F31-B177-1F676CE781B9}">
  <sheetPr>
    <tabColor theme="8" tint="0.39997558519241921"/>
  </sheetPr>
  <dimension ref="A6:J82"/>
  <sheetViews>
    <sheetView topLeftCell="A63" workbookViewId="0">
      <selection activeCell="J81" sqref="J81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81640625" customWidth="1"/>
  </cols>
  <sheetData>
    <row r="6" spans="1:10" x14ac:dyDescent="0.35">
      <c r="J6" s="51" t="s">
        <v>342</v>
      </c>
    </row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3</v>
      </c>
      <c r="F9" s="4">
        <v>1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1</v>
      </c>
      <c r="F12" s="4">
        <v>1</v>
      </c>
      <c r="G12" s="3" t="s">
        <v>12</v>
      </c>
      <c r="H12" s="2" t="str">
        <f t="shared" si="0"/>
        <v>D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0</v>
      </c>
      <c r="F13" s="4">
        <v>2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2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0</v>
      </c>
      <c r="F15" s="4">
        <v>0</v>
      </c>
      <c r="G15" s="3" t="s">
        <v>19</v>
      </c>
      <c r="H15" s="2" t="str">
        <f t="shared" si="0"/>
        <v>D</v>
      </c>
      <c r="J15">
        <v>1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1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0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2</v>
      </c>
      <c r="F19" s="4">
        <v>0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1</v>
      </c>
      <c r="F21" s="4">
        <v>1</v>
      </c>
      <c r="G21" s="3" t="s">
        <v>25</v>
      </c>
      <c r="H21" s="2" t="str">
        <f t="shared" si="0"/>
        <v>D</v>
      </c>
      <c r="J21">
        <v>3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1</v>
      </c>
      <c r="G23" s="3" t="s">
        <v>25</v>
      </c>
      <c r="H23" s="2" t="str">
        <f t="shared" si="0"/>
        <v>D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0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3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2</v>
      </c>
      <c r="F28" s="4">
        <v>0</v>
      </c>
      <c r="G28" s="3" t="s">
        <v>33</v>
      </c>
      <c r="H28" s="2" t="str">
        <f t="shared" si="0"/>
        <v>H</v>
      </c>
      <c r="J28">
        <v>3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1</v>
      </c>
      <c r="F29" s="4">
        <v>1</v>
      </c>
      <c r="G29" s="3" t="s">
        <v>32</v>
      </c>
      <c r="H29" s="2" t="str">
        <f t="shared" si="0"/>
        <v>D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1</v>
      </c>
      <c r="F30" s="4">
        <v>1</v>
      </c>
      <c r="G30" s="3" t="s">
        <v>31</v>
      </c>
      <c r="H30" s="2" t="str">
        <f t="shared" si="0"/>
        <v>D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2</v>
      </c>
      <c r="G31" s="3" t="s">
        <v>30</v>
      </c>
      <c r="H31" s="2" t="str">
        <f t="shared" si="0"/>
        <v>A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0</v>
      </c>
      <c r="G32" s="3" t="s">
        <v>32</v>
      </c>
      <c r="H32" s="2" t="str">
        <f t="shared" si="0"/>
        <v>H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1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2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1</v>
      </c>
      <c r="F36" s="4">
        <v>1</v>
      </c>
      <c r="G36" s="3" t="s">
        <v>38</v>
      </c>
      <c r="H36" s="2" t="str">
        <f t="shared" si="0"/>
        <v>D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1</v>
      </c>
      <c r="F38" s="4">
        <v>1</v>
      </c>
      <c r="G38" s="3" t="s">
        <v>39</v>
      </c>
      <c r="H38" s="2" t="str">
        <f t="shared" si="0"/>
        <v>D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0</v>
      </c>
      <c r="F39" s="4">
        <v>1</v>
      </c>
      <c r="G39" s="3" t="s">
        <v>44</v>
      </c>
      <c r="H39" s="2" t="str">
        <f t="shared" si="0"/>
        <v>A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2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1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1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2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3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1</v>
      </c>
      <c r="G46" s="3" t="s">
        <v>52</v>
      </c>
      <c r="H46" s="2" t="str">
        <f t="shared" si="1"/>
        <v>D</v>
      </c>
      <c r="J46">
        <v>1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1</v>
      </c>
      <c r="G48" s="3" t="s">
        <v>50</v>
      </c>
      <c r="H48" s="2" t="str">
        <f t="shared" si="1"/>
        <v>D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2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2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3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1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3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4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0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1</v>
      </c>
      <c r="G61" s="3" t="s">
        <v>62</v>
      </c>
      <c r="H61" s="2" t="str">
        <f t="shared" si="1"/>
        <v>D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1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1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0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1</v>
      </c>
      <c r="F66" s="4">
        <v>1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0</v>
      </c>
      <c r="F67" s="4">
        <v>2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1</v>
      </c>
      <c r="F68" s="4">
        <v>3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5</v>
      </c>
      <c r="F69" s="4">
        <v>1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0</v>
      </c>
      <c r="F70" s="4">
        <v>3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3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1</v>
      </c>
      <c r="F76" s="4">
        <v>0</v>
      </c>
      <c r="G76" s="3" t="s">
        <v>84</v>
      </c>
      <c r="H76" s="2" t="str">
        <f t="shared" si="2"/>
        <v>H</v>
      </c>
      <c r="J76">
        <v>3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1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0</v>
      </c>
      <c r="G80" s="3" t="s">
        <v>83</v>
      </c>
      <c r="H80" s="2" t="str">
        <f t="shared" si="2"/>
        <v>H</v>
      </c>
      <c r="J80" s="54"/>
    </row>
    <row r="82" spans="10:10" x14ac:dyDescent="0.35">
      <c r="J82">
        <f>SUM(J8:J80)</f>
        <v>22</v>
      </c>
    </row>
  </sheetData>
  <pageMargins left="0.75" right="0.75" top="1" bottom="1" header="0.5" footer="0.5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5F17-36DE-4997-AE3C-3B410D069A59}">
  <sheetPr>
    <tabColor theme="8" tint="0.39997558519241921"/>
  </sheetPr>
  <dimension ref="A5:Q42"/>
  <sheetViews>
    <sheetView topLeftCell="A10" workbookViewId="0">
      <selection activeCell="E27" sqref="E27"/>
    </sheetView>
  </sheetViews>
  <sheetFormatPr defaultRowHeight="14.5" x14ac:dyDescent="0.35"/>
  <cols>
    <col min="1" max="1" width="3.26953125" customWidth="1"/>
    <col min="2" max="2" width="20.6328125" customWidth="1"/>
    <col min="3" max="3" width="1.7265625" customWidth="1"/>
    <col min="4" max="4" width="3.26953125" customWidth="1"/>
    <col min="5" max="5" width="20.6328125" customWidth="1"/>
    <col min="6" max="6" width="1.7265625" customWidth="1"/>
    <col min="7" max="7" width="3.26953125" customWidth="1"/>
    <col min="8" max="8" width="20.6328125" customWidth="1"/>
    <col min="9" max="9" width="1.7265625" customWidth="1"/>
    <col min="10" max="10" width="3.26953125" customWidth="1"/>
    <col min="11" max="11" width="20.6328125" customWidth="1"/>
    <col min="12" max="12" width="1.7265625" customWidth="1"/>
    <col min="13" max="13" width="3.26953125" customWidth="1"/>
    <col min="14" max="14" width="20.6328125" customWidth="1"/>
    <col min="15" max="15" width="1.7265625" customWidth="1"/>
    <col min="16" max="16" width="3.2695312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172</v>
      </c>
      <c r="G10" s="10">
        <v>1</v>
      </c>
      <c r="H10" s="11" t="s">
        <v>162</v>
      </c>
      <c r="J10" s="10">
        <v>1</v>
      </c>
      <c r="K10" s="11" t="s">
        <v>75</v>
      </c>
      <c r="M10" s="10">
        <v>1</v>
      </c>
      <c r="N10" s="11" t="s">
        <v>75</v>
      </c>
      <c r="P10" s="10">
        <v>1</v>
      </c>
      <c r="Q10" s="11" t="s">
        <v>75</v>
      </c>
    </row>
    <row r="11" spans="1:17" s="9" customFormat="1" x14ac:dyDescent="0.35">
      <c r="A11" s="10">
        <f t="shared" ref="A11:A41" si="0">A10+1</f>
        <v>2</v>
      </c>
      <c r="B11" s="11" t="s">
        <v>186</v>
      </c>
      <c r="D11" s="10">
        <f t="shared" ref="D11:D25" si="1">D10+1</f>
        <v>2</v>
      </c>
      <c r="E11" s="11" t="s">
        <v>40</v>
      </c>
      <c r="G11" s="10">
        <f t="shared" ref="G11:G17" si="2">G10+1</f>
        <v>2</v>
      </c>
      <c r="H11" s="11" t="s">
        <v>148</v>
      </c>
      <c r="J11" s="10">
        <f>J10+1</f>
        <v>2</v>
      </c>
      <c r="K11" s="11" t="s">
        <v>148</v>
      </c>
      <c r="M11" s="10">
        <f>M10+1</f>
        <v>2</v>
      </c>
      <c r="N11" s="11" t="s">
        <v>148</v>
      </c>
    </row>
    <row r="12" spans="1:17" s="9" customFormat="1" x14ac:dyDescent="0.35">
      <c r="A12" s="10">
        <f t="shared" si="0"/>
        <v>3</v>
      </c>
      <c r="B12" s="11" t="s">
        <v>169</v>
      </c>
      <c r="D12" s="10">
        <f t="shared" si="1"/>
        <v>3</v>
      </c>
      <c r="E12" s="11" t="s">
        <v>148</v>
      </c>
      <c r="G12" s="10">
        <f t="shared" si="2"/>
        <v>3</v>
      </c>
      <c r="H12" s="11" t="s">
        <v>151</v>
      </c>
      <c r="J12" s="10">
        <f>J11+1</f>
        <v>3</v>
      </c>
      <c r="K12" s="11" t="s">
        <v>165</v>
      </c>
    </row>
    <row r="13" spans="1:17" s="9" customFormat="1" x14ac:dyDescent="0.35">
      <c r="A13" s="10">
        <f t="shared" si="0"/>
        <v>4</v>
      </c>
      <c r="B13" s="11" t="s">
        <v>18</v>
      </c>
      <c r="D13" s="10">
        <f t="shared" si="1"/>
        <v>4</v>
      </c>
      <c r="E13" s="11" t="s">
        <v>165</v>
      </c>
      <c r="G13" s="10">
        <f t="shared" si="2"/>
        <v>4</v>
      </c>
      <c r="H13" s="11" t="s">
        <v>75</v>
      </c>
      <c r="J13" s="10">
        <f>J12+1</f>
        <v>4</v>
      </c>
      <c r="K13" s="11" t="s">
        <v>157</v>
      </c>
    </row>
    <row r="14" spans="1:17" s="9" customFormat="1" x14ac:dyDescent="0.35">
      <c r="A14" s="10">
        <f t="shared" si="0"/>
        <v>5</v>
      </c>
      <c r="B14" s="11" t="s">
        <v>172</v>
      </c>
      <c r="D14" s="10">
        <f t="shared" si="1"/>
        <v>5</v>
      </c>
      <c r="E14" s="11" t="s">
        <v>157</v>
      </c>
      <c r="G14" s="10">
        <f t="shared" si="2"/>
        <v>5</v>
      </c>
      <c r="H14" s="11" t="s">
        <v>157</v>
      </c>
    </row>
    <row r="15" spans="1:17" s="9" customFormat="1" x14ac:dyDescent="0.35">
      <c r="A15" s="10">
        <f t="shared" si="0"/>
        <v>6</v>
      </c>
      <c r="B15" s="11" t="s">
        <v>162</v>
      </c>
      <c r="D15" s="10">
        <f t="shared" si="1"/>
        <v>6</v>
      </c>
      <c r="E15" s="11" t="s">
        <v>162</v>
      </c>
      <c r="G15" s="10">
        <f t="shared" si="2"/>
        <v>6</v>
      </c>
      <c r="H15" s="11" t="s">
        <v>156</v>
      </c>
    </row>
    <row r="16" spans="1:17" s="9" customFormat="1" x14ac:dyDescent="0.35">
      <c r="A16" s="10">
        <f t="shared" si="0"/>
        <v>7</v>
      </c>
      <c r="B16" s="11" t="s">
        <v>30</v>
      </c>
      <c r="D16" s="10">
        <f t="shared" si="1"/>
        <v>7</v>
      </c>
      <c r="E16" s="11" t="s">
        <v>75</v>
      </c>
      <c r="G16" s="10">
        <f t="shared" si="2"/>
        <v>7</v>
      </c>
      <c r="H16" s="11" t="s">
        <v>165</v>
      </c>
    </row>
    <row r="17" spans="1:11" s="9" customFormat="1" x14ac:dyDescent="0.35">
      <c r="A17" s="10">
        <f t="shared" si="0"/>
        <v>8</v>
      </c>
      <c r="B17" s="11" t="s">
        <v>195</v>
      </c>
      <c r="D17" s="10">
        <f t="shared" si="1"/>
        <v>8</v>
      </c>
      <c r="E17" s="11" t="s">
        <v>30</v>
      </c>
      <c r="G17" s="10">
        <f t="shared" si="2"/>
        <v>8</v>
      </c>
      <c r="H17" s="11" t="s">
        <v>177</v>
      </c>
    </row>
    <row r="18" spans="1:11" s="9" customFormat="1" x14ac:dyDescent="0.35">
      <c r="A18" s="10">
        <f t="shared" si="0"/>
        <v>9</v>
      </c>
      <c r="B18" s="11" t="s">
        <v>165</v>
      </c>
      <c r="D18" s="10">
        <f t="shared" si="1"/>
        <v>9</v>
      </c>
      <c r="E18" s="11" t="s">
        <v>177</v>
      </c>
    </row>
    <row r="19" spans="1:11" s="9" customFormat="1" x14ac:dyDescent="0.35">
      <c r="A19" s="10">
        <f t="shared" si="0"/>
        <v>10</v>
      </c>
      <c r="B19" s="11" t="s">
        <v>242</v>
      </c>
      <c r="D19" s="10">
        <f t="shared" si="1"/>
        <v>10</v>
      </c>
      <c r="E19" s="11" t="s">
        <v>151</v>
      </c>
    </row>
    <row r="20" spans="1:11" s="9" customFormat="1" x14ac:dyDescent="0.35">
      <c r="A20" s="10">
        <f t="shared" si="0"/>
        <v>11</v>
      </c>
      <c r="B20" s="11" t="s">
        <v>44</v>
      </c>
      <c r="D20" s="10">
        <f t="shared" si="1"/>
        <v>11</v>
      </c>
      <c r="E20" s="11" t="s">
        <v>156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146</v>
      </c>
      <c r="D21" s="10">
        <f t="shared" si="1"/>
        <v>12</v>
      </c>
      <c r="E21" s="11" t="s">
        <v>10</v>
      </c>
    </row>
    <row r="22" spans="1:11" s="9" customFormat="1" x14ac:dyDescent="0.35">
      <c r="A22" s="10">
        <f t="shared" si="0"/>
        <v>13</v>
      </c>
      <c r="B22" s="11" t="s">
        <v>177</v>
      </c>
      <c r="D22" s="10">
        <f t="shared" si="1"/>
        <v>13</v>
      </c>
      <c r="E22" s="11" t="s">
        <v>146</v>
      </c>
      <c r="H22" s="9" t="s">
        <v>113</v>
      </c>
      <c r="K22" s="11" t="s">
        <v>334</v>
      </c>
    </row>
    <row r="23" spans="1:11" s="9" customFormat="1" x14ac:dyDescent="0.35">
      <c r="A23" s="10">
        <f t="shared" si="0"/>
        <v>14</v>
      </c>
      <c r="B23" s="11" t="s">
        <v>51</v>
      </c>
      <c r="D23" s="10">
        <f t="shared" si="1"/>
        <v>14</v>
      </c>
      <c r="E23" s="11" t="s">
        <v>189</v>
      </c>
      <c r="H23" s="9" t="s">
        <v>116</v>
      </c>
      <c r="K23" s="11" t="s">
        <v>326</v>
      </c>
    </row>
    <row r="24" spans="1:11" s="9" customFormat="1" x14ac:dyDescent="0.35">
      <c r="A24" s="10">
        <f t="shared" si="0"/>
        <v>15</v>
      </c>
      <c r="B24" s="11" t="s">
        <v>157</v>
      </c>
      <c r="D24" s="10">
        <f t="shared" si="1"/>
        <v>15</v>
      </c>
      <c r="E24" s="11" t="s">
        <v>195</v>
      </c>
      <c r="H24" s="9" t="s">
        <v>119</v>
      </c>
      <c r="K24" s="11" t="s">
        <v>333</v>
      </c>
    </row>
    <row r="25" spans="1:11" s="9" customFormat="1" x14ac:dyDescent="0.35">
      <c r="A25" s="10">
        <f t="shared" si="0"/>
        <v>16</v>
      </c>
      <c r="B25" s="11" t="s">
        <v>332</v>
      </c>
      <c r="D25" s="10">
        <f t="shared" si="1"/>
        <v>16</v>
      </c>
      <c r="E25" s="11" t="s">
        <v>186</v>
      </c>
    </row>
    <row r="26" spans="1:11" s="9" customFormat="1" x14ac:dyDescent="0.35">
      <c r="A26" s="10">
        <f t="shared" si="0"/>
        <v>17</v>
      </c>
      <c r="B26" s="11" t="s">
        <v>148</v>
      </c>
      <c r="H26" s="9" t="s">
        <v>122</v>
      </c>
      <c r="K26" s="13">
        <v>211</v>
      </c>
    </row>
    <row r="27" spans="1:11" s="9" customFormat="1" x14ac:dyDescent="0.35">
      <c r="A27" s="10">
        <f t="shared" si="0"/>
        <v>18</v>
      </c>
      <c r="B27" s="11" t="s">
        <v>156</v>
      </c>
      <c r="H27" s="9" t="s">
        <v>124</v>
      </c>
    </row>
    <row r="28" spans="1:11" x14ac:dyDescent="0.35">
      <c r="A28" s="10">
        <f t="shared" si="0"/>
        <v>19</v>
      </c>
      <c r="B28" s="11" t="s">
        <v>141</v>
      </c>
    </row>
    <row r="29" spans="1:11" x14ac:dyDescent="0.35">
      <c r="A29" s="10">
        <f t="shared" si="0"/>
        <v>20</v>
      </c>
      <c r="B29" s="11" t="s">
        <v>175</v>
      </c>
    </row>
    <row r="30" spans="1:11" x14ac:dyDescent="0.35">
      <c r="A30" s="10">
        <f t="shared" si="0"/>
        <v>21</v>
      </c>
      <c r="B30" s="11" t="s">
        <v>75</v>
      </c>
    </row>
    <row r="31" spans="1:11" x14ac:dyDescent="0.35">
      <c r="A31" s="10">
        <f t="shared" si="0"/>
        <v>22</v>
      </c>
      <c r="B31" s="11" t="s">
        <v>189</v>
      </c>
    </row>
    <row r="32" spans="1:11" x14ac:dyDescent="0.35">
      <c r="A32" s="10">
        <f t="shared" si="0"/>
        <v>23</v>
      </c>
      <c r="B32" s="11" t="s">
        <v>151</v>
      </c>
    </row>
    <row r="33" spans="1:2" x14ac:dyDescent="0.35">
      <c r="A33" s="10">
        <f t="shared" si="0"/>
        <v>24</v>
      </c>
      <c r="B33" s="11" t="s">
        <v>174</v>
      </c>
    </row>
    <row r="34" spans="1:2" x14ac:dyDescent="0.35">
      <c r="A34" s="10">
        <f t="shared" si="0"/>
        <v>25</v>
      </c>
      <c r="B34" s="11" t="s">
        <v>45</v>
      </c>
    </row>
    <row r="35" spans="1:2" x14ac:dyDescent="0.35">
      <c r="A35" s="10">
        <f t="shared" si="0"/>
        <v>26</v>
      </c>
      <c r="B35" s="11" t="s">
        <v>187</v>
      </c>
    </row>
    <row r="36" spans="1:2" x14ac:dyDescent="0.35">
      <c r="A36" s="10">
        <f t="shared" si="0"/>
        <v>27</v>
      </c>
      <c r="B36" s="11" t="s">
        <v>173</v>
      </c>
    </row>
    <row r="37" spans="1:2" x14ac:dyDescent="0.35">
      <c r="A37" s="10">
        <f t="shared" si="0"/>
        <v>28</v>
      </c>
      <c r="B37" s="11" t="s">
        <v>331</v>
      </c>
    </row>
    <row r="38" spans="1:2" x14ac:dyDescent="0.35">
      <c r="A38" s="10">
        <f t="shared" si="0"/>
        <v>29</v>
      </c>
      <c r="B38" s="11" t="s">
        <v>330</v>
      </c>
    </row>
    <row r="39" spans="1:2" x14ac:dyDescent="0.35">
      <c r="A39" s="10">
        <f t="shared" si="0"/>
        <v>30</v>
      </c>
      <c r="B39" s="11" t="s">
        <v>63</v>
      </c>
    </row>
    <row r="40" spans="1:2" x14ac:dyDescent="0.35">
      <c r="A40" s="10">
        <f t="shared" si="0"/>
        <v>31</v>
      </c>
      <c r="B40" s="11" t="s">
        <v>83</v>
      </c>
    </row>
    <row r="41" spans="1:2" x14ac:dyDescent="0.35">
      <c r="A41" s="10">
        <f t="shared" si="0"/>
        <v>32</v>
      </c>
      <c r="B41" s="11" t="s">
        <v>196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958F-9BF2-4C55-9FEC-22DA2AD466E2}">
  <sheetPr>
    <tabColor rgb="FF92CDDC"/>
  </sheetPr>
  <dimension ref="A1:Z1000"/>
  <sheetViews>
    <sheetView topLeftCell="A67" workbookViewId="0">
      <selection activeCell="J79" sqref="J79"/>
    </sheetView>
  </sheetViews>
  <sheetFormatPr defaultColWidth="14.453125" defaultRowHeight="15" customHeight="1" x14ac:dyDescent="0.35"/>
  <cols>
    <col min="1" max="1" width="5" style="39" customWidth="1"/>
    <col min="2" max="2" width="12" style="39" customWidth="1"/>
    <col min="3" max="3" width="7" style="39" customWidth="1"/>
    <col min="4" max="4" width="20" style="39" customWidth="1"/>
    <col min="5" max="6" width="5" style="39" customWidth="1"/>
    <col min="7" max="7" width="20" style="39" customWidth="1"/>
    <col min="8" max="8" width="5" style="39" hidden="1" customWidth="1"/>
    <col min="9" max="9" width="2.81640625" style="39" customWidth="1"/>
    <col min="10" max="26" width="8.7265625" style="39" customWidth="1"/>
    <col min="27" max="16384" width="14.453125" style="39"/>
  </cols>
  <sheetData>
    <row r="1" spans="1:26" ht="14.25" customHeight="1" x14ac:dyDescent="0.35">
      <c r="A1" s="44"/>
      <c r="B1" s="44"/>
      <c r="C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4.25" customHeight="1" x14ac:dyDescent="0.3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14.25" customHeight="1" x14ac:dyDescent="0.3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4.25" customHeight="1" x14ac:dyDescent="0.3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14.25" customHeight="1" x14ac:dyDescent="0.3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4.25" customHeight="1" x14ac:dyDescent="0.35">
      <c r="A6" s="44"/>
      <c r="B6" s="44"/>
      <c r="C6" s="44"/>
      <c r="D6" s="44"/>
      <c r="E6" s="44"/>
      <c r="F6" s="44"/>
      <c r="G6" s="44"/>
      <c r="H6" s="44"/>
      <c r="I6" s="44"/>
      <c r="J6" s="52" t="s">
        <v>342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4.25" customHeight="1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4.25" customHeight="1" x14ac:dyDescent="0.35">
      <c r="A8" s="43" t="s">
        <v>0</v>
      </c>
      <c r="B8" s="43" t="s">
        <v>1</v>
      </c>
      <c r="C8" s="43" t="s">
        <v>2</v>
      </c>
      <c r="D8" s="43" t="s">
        <v>3</v>
      </c>
      <c r="E8" s="43" t="s">
        <v>4</v>
      </c>
      <c r="F8" s="43" t="s">
        <v>5</v>
      </c>
      <c r="G8" s="43" t="s">
        <v>6</v>
      </c>
      <c r="H8" s="43" t="s">
        <v>7</v>
      </c>
    </row>
    <row r="9" spans="1:26" ht="14.25" customHeight="1" x14ac:dyDescent="0.35">
      <c r="A9" s="40">
        <v>1</v>
      </c>
      <c r="B9" s="40" t="s">
        <v>8</v>
      </c>
      <c r="C9" s="40" t="s">
        <v>9</v>
      </c>
      <c r="D9" s="41" t="s">
        <v>10</v>
      </c>
      <c r="E9" s="42">
        <v>2</v>
      </c>
      <c r="F9" s="42">
        <v>0</v>
      </c>
      <c r="G9" s="41" t="s">
        <v>11</v>
      </c>
      <c r="H9" s="40" t="str">
        <f t="shared" ref="H9:H40" si="0">IF(AND(E9&lt;&gt;"",F9&lt;&gt;""),IF(E9&gt;F9,"H",IF(E9&lt;F9,"A","D")),"")</f>
        <v>H</v>
      </c>
      <c r="J9" s="39">
        <v>3</v>
      </c>
    </row>
    <row r="10" spans="1:26" ht="14.25" customHeight="1" x14ac:dyDescent="0.35">
      <c r="A10" s="40">
        <v>2</v>
      </c>
      <c r="B10" s="40" t="s">
        <v>8</v>
      </c>
      <c r="C10" s="40" t="s">
        <v>9</v>
      </c>
      <c r="D10" s="41" t="s">
        <v>12</v>
      </c>
      <c r="E10" s="42">
        <v>1</v>
      </c>
      <c r="F10" s="42">
        <v>1</v>
      </c>
      <c r="G10" s="41" t="s">
        <v>13</v>
      </c>
      <c r="H10" s="40" t="str">
        <f t="shared" si="0"/>
        <v>D</v>
      </c>
      <c r="J10" s="39">
        <v>0</v>
      </c>
    </row>
    <row r="11" spans="1:26" ht="14.25" customHeight="1" x14ac:dyDescent="0.35">
      <c r="A11" s="40">
        <v>3</v>
      </c>
      <c r="B11" s="40" t="s">
        <v>14</v>
      </c>
      <c r="C11" s="40" t="s">
        <v>9</v>
      </c>
      <c r="D11" s="41" t="s">
        <v>13</v>
      </c>
      <c r="E11" s="42">
        <v>1</v>
      </c>
      <c r="F11" s="42">
        <v>0</v>
      </c>
      <c r="G11" s="41" t="s">
        <v>11</v>
      </c>
      <c r="H11" s="40" t="str">
        <f t="shared" si="0"/>
        <v>H</v>
      </c>
    </row>
    <row r="12" spans="1:26" ht="14.25" customHeight="1" x14ac:dyDescent="0.35">
      <c r="A12" s="40">
        <v>4</v>
      </c>
      <c r="B12" s="40" t="s">
        <v>14</v>
      </c>
      <c r="C12" s="40" t="s">
        <v>9</v>
      </c>
      <c r="D12" s="41" t="s">
        <v>10</v>
      </c>
      <c r="E12" s="42">
        <v>1</v>
      </c>
      <c r="F12" s="42">
        <v>0</v>
      </c>
      <c r="G12" s="41" t="s">
        <v>12</v>
      </c>
      <c r="H12" s="40" t="str">
        <f t="shared" si="0"/>
        <v>H</v>
      </c>
    </row>
    <row r="13" spans="1:26" ht="14.25" customHeight="1" x14ac:dyDescent="0.35">
      <c r="A13" s="40">
        <v>5</v>
      </c>
      <c r="B13" s="40" t="s">
        <v>15</v>
      </c>
      <c r="C13" s="40" t="s">
        <v>9</v>
      </c>
      <c r="D13" s="41" t="s">
        <v>13</v>
      </c>
      <c r="E13" s="42">
        <v>0</v>
      </c>
      <c r="F13" s="42">
        <v>1</v>
      </c>
      <c r="G13" s="41" t="s">
        <v>10</v>
      </c>
      <c r="H13" s="40" t="str">
        <f t="shared" si="0"/>
        <v>A</v>
      </c>
    </row>
    <row r="14" spans="1:26" ht="14.25" customHeight="1" x14ac:dyDescent="0.35">
      <c r="A14" s="40">
        <v>6</v>
      </c>
      <c r="B14" s="40" t="s">
        <v>15</v>
      </c>
      <c r="C14" s="40" t="s">
        <v>9</v>
      </c>
      <c r="D14" s="41" t="s">
        <v>11</v>
      </c>
      <c r="E14" s="42">
        <v>0</v>
      </c>
      <c r="F14" s="42">
        <v>1</v>
      </c>
      <c r="G14" s="41" t="s">
        <v>12</v>
      </c>
      <c r="H14" s="40" t="str">
        <f t="shared" si="0"/>
        <v>A</v>
      </c>
    </row>
    <row r="15" spans="1:26" ht="14.25" customHeight="1" x14ac:dyDescent="0.35">
      <c r="A15" s="40">
        <v>7</v>
      </c>
      <c r="B15" s="40" t="s">
        <v>16</v>
      </c>
      <c r="C15" s="40" t="s">
        <v>17</v>
      </c>
      <c r="D15" s="41" t="s">
        <v>18</v>
      </c>
      <c r="E15" s="42">
        <v>0</v>
      </c>
      <c r="F15" s="42">
        <v>1</v>
      </c>
      <c r="G15" s="41" t="s">
        <v>19</v>
      </c>
      <c r="H15" s="40" t="str">
        <f t="shared" si="0"/>
        <v>A</v>
      </c>
      <c r="J15" s="39">
        <v>0</v>
      </c>
    </row>
    <row r="16" spans="1:26" ht="14.25" customHeight="1" x14ac:dyDescent="0.35">
      <c r="A16" s="40">
        <v>8</v>
      </c>
      <c r="B16" s="40" t="s">
        <v>20</v>
      </c>
      <c r="C16" s="40" t="s">
        <v>17</v>
      </c>
      <c r="D16" s="41" t="s">
        <v>21</v>
      </c>
      <c r="E16" s="42">
        <v>0</v>
      </c>
      <c r="F16" s="42">
        <v>3</v>
      </c>
      <c r="G16" s="41" t="s">
        <v>22</v>
      </c>
      <c r="H16" s="40" t="str">
        <f t="shared" si="0"/>
        <v>A</v>
      </c>
      <c r="J16" s="39">
        <v>0</v>
      </c>
    </row>
    <row r="17" spans="1:10" ht="14.25" customHeight="1" x14ac:dyDescent="0.35">
      <c r="A17" s="40">
        <v>9</v>
      </c>
      <c r="B17" s="40" t="s">
        <v>14</v>
      </c>
      <c r="C17" s="40" t="s">
        <v>17</v>
      </c>
      <c r="D17" s="41" t="s">
        <v>22</v>
      </c>
      <c r="E17" s="42">
        <v>1</v>
      </c>
      <c r="F17" s="42">
        <v>0</v>
      </c>
      <c r="G17" s="41" t="s">
        <v>19</v>
      </c>
      <c r="H17" s="40" t="str">
        <f t="shared" si="0"/>
        <v>H</v>
      </c>
    </row>
    <row r="18" spans="1:10" ht="14.25" customHeight="1" x14ac:dyDescent="0.35">
      <c r="A18" s="40">
        <v>10</v>
      </c>
      <c r="B18" s="40" t="s">
        <v>14</v>
      </c>
      <c r="C18" s="40" t="s">
        <v>17</v>
      </c>
      <c r="D18" s="41" t="s">
        <v>18</v>
      </c>
      <c r="E18" s="42">
        <v>1</v>
      </c>
      <c r="F18" s="42">
        <v>0</v>
      </c>
      <c r="G18" s="41" t="s">
        <v>21</v>
      </c>
      <c r="H18" s="40" t="str">
        <f t="shared" si="0"/>
        <v>H</v>
      </c>
    </row>
    <row r="19" spans="1:10" ht="14.25" customHeight="1" x14ac:dyDescent="0.35">
      <c r="A19" s="40">
        <v>11</v>
      </c>
      <c r="B19" s="40" t="s">
        <v>15</v>
      </c>
      <c r="C19" s="40" t="s">
        <v>17</v>
      </c>
      <c r="D19" s="41" t="s">
        <v>22</v>
      </c>
      <c r="E19" s="42">
        <v>2</v>
      </c>
      <c r="F19" s="42">
        <v>0</v>
      </c>
      <c r="G19" s="41" t="s">
        <v>18</v>
      </c>
      <c r="H19" s="40" t="str">
        <f t="shared" si="0"/>
        <v>H</v>
      </c>
    </row>
    <row r="20" spans="1:10" ht="14.25" customHeight="1" x14ac:dyDescent="0.35">
      <c r="A20" s="40">
        <v>12</v>
      </c>
      <c r="B20" s="40" t="s">
        <v>15</v>
      </c>
      <c r="C20" s="40" t="s">
        <v>17</v>
      </c>
      <c r="D20" s="41" t="s">
        <v>19</v>
      </c>
      <c r="E20" s="42">
        <v>2</v>
      </c>
      <c r="F20" s="42">
        <v>0</v>
      </c>
      <c r="G20" s="41" t="s">
        <v>21</v>
      </c>
      <c r="H20" s="40" t="str">
        <f t="shared" si="0"/>
        <v>H</v>
      </c>
    </row>
    <row r="21" spans="1:10" ht="14.25" customHeight="1" x14ac:dyDescent="0.35">
      <c r="A21" s="40">
        <v>13</v>
      </c>
      <c r="B21" s="40" t="s">
        <v>20</v>
      </c>
      <c r="C21" s="40" t="s">
        <v>23</v>
      </c>
      <c r="D21" s="41" t="s">
        <v>24</v>
      </c>
      <c r="E21" s="42">
        <v>2</v>
      </c>
      <c r="F21" s="42">
        <v>1</v>
      </c>
      <c r="G21" s="41" t="s">
        <v>25</v>
      </c>
      <c r="H21" s="40" t="str">
        <f t="shared" si="0"/>
        <v>H</v>
      </c>
      <c r="J21" s="39">
        <v>0</v>
      </c>
    </row>
    <row r="22" spans="1:10" ht="14.25" customHeight="1" x14ac:dyDescent="0.35">
      <c r="A22" s="40">
        <v>14</v>
      </c>
      <c r="B22" s="40" t="s">
        <v>20</v>
      </c>
      <c r="C22" s="40" t="s">
        <v>23</v>
      </c>
      <c r="D22" s="41" t="s">
        <v>26</v>
      </c>
      <c r="E22" s="42">
        <v>0</v>
      </c>
      <c r="F22" s="42">
        <v>2</v>
      </c>
      <c r="G22" s="41" t="s">
        <v>27</v>
      </c>
      <c r="H22" s="40" t="str">
        <f t="shared" si="0"/>
        <v>A</v>
      </c>
      <c r="J22" s="39">
        <v>1</v>
      </c>
    </row>
    <row r="23" spans="1:10" ht="14.25" customHeight="1" x14ac:dyDescent="0.35">
      <c r="A23" s="40">
        <v>15</v>
      </c>
      <c r="B23" s="40" t="s">
        <v>28</v>
      </c>
      <c r="C23" s="40" t="s">
        <v>23</v>
      </c>
      <c r="D23" s="41" t="s">
        <v>27</v>
      </c>
      <c r="E23" s="42">
        <v>1</v>
      </c>
      <c r="F23" s="42">
        <v>2</v>
      </c>
      <c r="G23" s="41" t="s">
        <v>25</v>
      </c>
      <c r="H23" s="40" t="str">
        <f t="shared" si="0"/>
        <v>A</v>
      </c>
    </row>
    <row r="24" spans="1:10" ht="14.25" customHeight="1" x14ac:dyDescent="0.35">
      <c r="A24" s="40">
        <v>16</v>
      </c>
      <c r="B24" s="40" t="s">
        <v>28</v>
      </c>
      <c r="C24" s="40" t="s">
        <v>23</v>
      </c>
      <c r="D24" s="41" t="s">
        <v>24</v>
      </c>
      <c r="E24" s="42">
        <v>3</v>
      </c>
      <c r="F24" s="42">
        <v>0</v>
      </c>
      <c r="G24" s="41" t="s">
        <v>26</v>
      </c>
      <c r="H24" s="40" t="str">
        <f t="shared" si="0"/>
        <v>H</v>
      </c>
    </row>
    <row r="25" spans="1:10" ht="14.25" customHeight="1" x14ac:dyDescent="0.35">
      <c r="A25" s="40">
        <v>17</v>
      </c>
      <c r="B25" s="40" t="s">
        <v>15</v>
      </c>
      <c r="C25" s="40" t="s">
        <v>23</v>
      </c>
      <c r="D25" s="41" t="s">
        <v>27</v>
      </c>
      <c r="E25" s="42">
        <v>0</v>
      </c>
      <c r="F25" s="42">
        <v>2</v>
      </c>
      <c r="G25" s="41" t="s">
        <v>24</v>
      </c>
      <c r="H25" s="40" t="str">
        <f t="shared" si="0"/>
        <v>A</v>
      </c>
    </row>
    <row r="26" spans="1:10" ht="14.25" customHeight="1" x14ac:dyDescent="0.35">
      <c r="A26" s="40">
        <v>18</v>
      </c>
      <c r="B26" s="40" t="s">
        <v>15</v>
      </c>
      <c r="C26" s="40" t="s">
        <v>23</v>
      </c>
      <c r="D26" s="41" t="s">
        <v>25</v>
      </c>
      <c r="E26" s="42">
        <v>2</v>
      </c>
      <c r="F26" s="42">
        <v>0</v>
      </c>
      <c r="G26" s="41" t="s">
        <v>26</v>
      </c>
      <c r="H26" s="40" t="str">
        <f t="shared" si="0"/>
        <v>H</v>
      </c>
    </row>
    <row r="27" spans="1:10" ht="14.25" customHeight="1" x14ac:dyDescent="0.35">
      <c r="A27" s="40">
        <v>19</v>
      </c>
      <c r="B27" s="40" t="s">
        <v>16</v>
      </c>
      <c r="C27" s="40" t="s">
        <v>29</v>
      </c>
      <c r="D27" s="41" t="s">
        <v>30</v>
      </c>
      <c r="E27" s="42">
        <v>2</v>
      </c>
      <c r="F27" s="42">
        <v>1</v>
      </c>
      <c r="G27" s="41" t="s">
        <v>31</v>
      </c>
      <c r="H27" s="40" t="str">
        <f t="shared" si="0"/>
        <v>H</v>
      </c>
      <c r="J27" s="39">
        <v>1</v>
      </c>
    </row>
    <row r="28" spans="1:10" ht="14.25" customHeight="1" x14ac:dyDescent="0.35">
      <c r="A28" s="40">
        <v>20</v>
      </c>
      <c r="B28" s="40" t="s">
        <v>20</v>
      </c>
      <c r="C28" s="40" t="s">
        <v>29</v>
      </c>
      <c r="D28" s="41" t="s">
        <v>32</v>
      </c>
      <c r="E28" s="42">
        <v>0</v>
      </c>
      <c r="F28" s="42">
        <v>1</v>
      </c>
      <c r="G28" s="41" t="s">
        <v>33</v>
      </c>
      <c r="H28" s="40" t="str">
        <f t="shared" si="0"/>
        <v>A</v>
      </c>
      <c r="J28" s="39">
        <v>0</v>
      </c>
    </row>
    <row r="29" spans="1:10" ht="14.25" customHeight="1" x14ac:dyDescent="0.35">
      <c r="A29" s="40">
        <v>21</v>
      </c>
      <c r="B29" s="40" t="s">
        <v>28</v>
      </c>
      <c r="C29" s="40" t="s">
        <v>29</v>
      </c>
      <c r="D29" s="41" t="s">
        <v>30</v>
      </c>
      <c r="E29" s="42">
        <v>1</v>
      </c>
      <c r="F29" s="42">
        <v>0</v>
      </c>
      <c r="G29" s="41" t="s">
        <v>32</v>
      </c>
      <c r="H29" s="40" t="str">
        <f t="shared" si="0"/>
        <v>H</v>
      </c>
    </row>
    <row r="30" spans="1:10" ht="14.25" customHeight="1" x14ac:dyDescent="0.35">
      <c r="A30" s="40">
        <v>22</v>
      </c>
      <c r="B30" s="40" t="s">
        <v>28</v>
      </c>
      <c r="C30" s="40" t="s">
        <v>29</v>
      </c>
      <c r="D30" s="41" t="s">
        <v>33</v>
      </c>
      <c r="E30" s="42">
        <v>1</v>
      </c>
      <c r="F30" s="42">
        <v>0</v>
      </c>
      <c r="G30" s="41" t="s">
        <v>31</v>
      </c>
      <c r="H30" s="40" t="str">
        <f t="shared" si="0"/>
        <v>H</v>
      </c>
    </row>
    <row r="31" spans="1:10" ht="14.25" customHeight="1" x14ac:dyDescent="0.35">
      <c r="A31" s="40">
        <v>23</v>
      </c>
      <c r="B31" s="40" t="s">
        <v>34</v>
      </c>
      <c r="C31" s="40" t="s">
        <v>29</v>
      </c>
      <c r="D31" s="41" t="s">
        <v>33</v>
      </c>
      <c r="E31" s="42">
        <v>1</v>
      </c>
      <c r="F31" s="42">
        <v>1</v>
      </c>
      <c r="G31" s="41" t="s">
        <v>30</v>
      </c>
      <c r="H31" s="40" t="str">
        <f t="shared" si="0"/>
        <v>D</v>
      </c>
    </row>
    <row r="32" spans="1:10" ht="14.25" customHeight="1" x14ac:dyDescent="0.35">
      <c r="A32" s="40">
        <v>24</v>
      </c>
      <c r="B32" s="40" t="s">
        <v>34</v>
      </c>
      <c r="C32" s="40" t="s">
        <v>29</v>
      </c>
      <c r="D32" s="41" t="s">
        <v>31</v>
      </c>
      <c r="E32" s="42">
        <v>1</v>
      </c>
      <c r="F32" s="42">
        <v>1</v>
      </c>
      <c r="G32" s="41" t="s">
        <v>32</v>
      </c>
      <c r="H32" s="40" t="str">
        <f t="shared" si="0"/>
        <v>D</v>
      </c>
    </row>
    <row r="33" spans="1:10" ht="14.25" customHeight="1" x14ac:dyDescent="0.35">
      <c r="A33" s="40">
        <v>25</v>
      </c>
      <c r="B33" s="40" t="s">
        <v>35</v>
      </c>
      <c r="C33" s="40" t="s">
        <v>36</v>
      </c>
      <c r="D33" s="41" t="s">
        <v>37</v>
      </c>
      <c r="E33" s="42">
        <v>4</v>
      </c>
      <c r="F33" s="42">
        <v>0</v>
      </c>
      <c r="G33" s="41" t="s">
        <v>38</v>
      </c>
      <c r="H33" s="40" t="str">
        <f t="shared" si="0"/>
        <v>H</v>
      </c>
      <c r="J33" s="39">
        <v>1</v>
      </c>
    </row>
    <row r="34" spans="1:10" ht="14.25" customHeight="1" x14ac:dyDescent="0.35">
      <c r="A34" s="40">
        <v>26</v>
      </c>
      <c r="B34" s="40" t="s">
        <v>35</v>
      </c>
      <c r="C34" s="40" t="s">
        <v>36</v>
      </c>
      <c r="D34" s="41" t="s">
        <v>39</v>
      </c>
      <c r="E34" s="42">
        <v>1</v>
      </c>
      <c r="F34" s="42">
        <v>1</v>
      </c>
      <c r="G34" s="41" t="s">
        <v>40</v>
      </c>
      <c r="H34" s="40" t="str">
        <f t="shared" si="0"/>
        <v>D</v>
      </c>
      <c r="J34" s="39">
        <v>0</v>
      </c>
    </row>
    <row r="35" spans="1:10" ht="14.25" customHeight="1" x14ac:dyDescent="0.35">
      <c r="A35" s="40">
        <v>27</v>
      </c>
      <c r="B35" s="40" t="s">
        <v>41</v>
      </c>
      <c r="C35" s="40" t="s">
        <v>36</v>
      </c>
      <c r="D35" s="41" t="s">
        <v>37</v>
      </c>
      <c r="E35" s="42">
        <v>2</v>
      </c>
      <c r="F35" s="42">
        <v>0</v>
      </c>
      <c r="G35" s="41" t="s">
        <v>39</v>
      </c>
      <c r="H35" s="40" t="str">
        <f t="shared" si="0"/>
        <v>H</v>
      </c>
    </row>
    <row r="36" spans="1:10" ht="14.25" customHeight="1" x14ac:dyDescent="0.35">
      <c r="A36" s="40">
        <v>28</v>
      </c>
      <c r="B36" s="40" t="s">
        <v>41</v>
      </c>
      <c r="C36" s="40" t="s">
        <v>36</v>
      </c>
      <c r="D36" s="41" t="s">
        <v>40</v>
      </c>
      <c r="E36" s="42">
        <v>2</v>
      </c>
      <c r="F36" s="42">
        <v>0</v>
      </c>
      <c r="G36" s="41" t="s">
        <v>38</v>
      </c>
      <c r="H36" s="40" t="str">
        <f t="shared" si="0"/>
        <v>H</v>
      </c>
    </row>
    <row r="37" spans="1:10" ht="14.25" customHeight="1" x14ac:dyDescent="0.35">
      <c r="A37" s="40">
        <v>29</v>
      </c>
      <c r="B37" s="40" t="s">
        <v>34</v>
      </c>
      <c r="C37" s="40" t="s">
        <v>36</v>
      </c>
      <c r="D37" s="41" t="s">
        <v>40</v>
      </c>
      <c r="E37" s="42">
        <v>0</v>
      </c>
      <c r="F37" s="42">
        <v>2</v>
      </c>
      <c r="G37" s="41" t="s">
        <v>37</v>
      </c>
      <c r="H37" s="40" t="str">
        <f t="shared" si="0"/>
        <v>A</v>
      </c>
    </row>
    <row r="38" spans="1:10" ht="14.25" customHeight="1" x14ac:dyDescent="0.35">
      <c r="A38" s="40">
        <v>30</v>
      </c>
      <c r="B38" s="40" t="s">
        <v>34</v>
      </c>
      <c r="C38" s="40" t="s">
        <v>36</v>
      </c>
      <c r="D38" s="41" t="s">
        <v>38</v>
      </c>
      <c r="E38" s="42">
        <v>0</v>
      </c>
      <c r="F38" s="42">
        <v>2</v>
      </c>
      <c r="G38" s="41" t="s">
        <v>39</v>
      </c>
      <c r="H38" s="40" t="str">
        <f t="shared" si="0"/>
        <v>A</v>
      </c>
    </row>
    <row r="39" spans="1:10" ht="14.25" customHeight="1" x14ac:dyDescent="0.35">
      <c r="A39" s="40">
        <v>31</v>
      </c>
      <c r="B39" s="40" t="s">
        <v>35</v>
      </c>
      <c r="C39" s="40" t="s">
        <v>42</v>
      </c>
      <c r="D39" s="41" t="s">
        <v>43</v>
      </c>
      <c r="E39" s="42">
        <v>2</v>
      </c>
      <c r="F39" s="42">
        <v>1</v>
      </c>
      <c r="G39" s="41" t="s">
        <v>44</v>
      </c>
      <c r="H39" s="40" t="str">
        <f t="shared" si="0"/>
        <v>H</v>
      </c>
      <c r="J39" s="39">
        <v>0</v>
      </c>
    </row>
    <row r="40" spans="1:10" ht="14.25" customHeight="1" x14ac:dyDescent="0.35">
      <c r="A40" s="40">
        <v>32</v>
      </c>
      <c r="B40" s="40" t="s">
        <v>35</v>
      </c>
      <c r="C40" s="40" t="s">
        <v>42</v>
      </c>
      <c r="D40" s="41" t="s">
        <v>45</v>
      </c>
      <c r="E40" s="42">
        <v>1</v>
      </c>
      <c r="F40" s="42">
        <v>0</v>
      </c>
      <c r="G40" s="41" t="s">
        <v>46</v>
      </c>
      <c r="H40" s="40" t="str">
        <f t="shared" si="0"/>
        <v>H</v>
      </c>
      <c r="J40" s="39">
        <v>1</v>
      </c>
    </row>
    <row r="41" spans="1:10" ht="14.25" customHeight="1" x14ac:dyDescent="0.35">
      <c r="A41" s="40">
        <v>33</v>
      </c>
      <c r="B41" s="40" t="s">
        <v>41</v>
      </c>
      <c r="C41" s="40" t="s">
        <v>42</v>
      </c>
      <c r="D41" s="41" t="s">
        <v>43</v>
      </c>
      <c r="E41" s="42">
        <v>1</v>
      </c>
      <c r="F41" s="42">
        <v>0</v>
      </c>
      <c r="G41" s="41" t="s">
        <v>45</v>
      </c>
      <c r="H41" s="40" t="str">
        <f t="shared" ref="H41:H72" si="1">IF(AND(E41&lt;&gt;"",F41&lt;&gt;""),IF(E41&gt;F41,"H",IF(E41&lt;F41,"A","D")),"")</f>
        <v>H</v>
      </c>
    </row>
    <row r="42" spans="1:10" ht="14.25" customHeight="1" x14ac:dyDescent="0.35">
      <c r="A42" s="40">
        <v>34</v>
      </c>
      <c r="B42" s="40" t="s">
        <v>41</v>
      </c>
      <c r="C42" s="40" t="s">
        <v>42</v>
      </c>
      <c r="D42" s="41" t="s">
        <v>46</v>
      </c>
      <c r="E42" s="42">
        <v>0</v>
      </c>
      <c r="F42" s="42">
        <v>1</v>
      </c>
      <c r="G42" s="41" t="s">
        <v>44</v>
      </c>
      <c r="H42" s="40" t="str">
        <f t="shared" si="1"/>
        <v>A</v>
      </c>
    </row>
    <row r="43" spans="1:10" ht="14.25" customHeight="1" x14ac:dyDescent="0.35">
      <c r="A43" s="40">
        <v>35</v>
      </c>
      <c r="B43" s="40" t="s">
        <v>34</v>
      </c>
      <c r="C43" s="40" t="s">
        <v>42</v>
      </c>
      <c r="D43" s="41" t="s">
        <v>44</v>
      </c>
      <c r="E43" s="42">
        <v>1</v>
      </c>
      <c r="F43" s="42">
        <v>0</v>
      </c>
      <c r="G43" s="41" t="s">
        <v>45</v>
      </c>
      <c r="H43" s="40" t="str">
        <f t="shared" si="1"/>
        <v>H</v>
      </c>
    </row>
    <row r="44" spans="1:10" ht="14.25" customHeight="1" x14ac:dyDescent="0.35">
      <c r="A44" s="40">
        <v>36</v>
      </c>
      <c r="B44" s="40" t="s">
        <v>34</v>
      </c>
      <c r="C44" s="40" t="s">
        <v>42</v>
      </c>
      <c r="D44" s="41" t="s">
        <v>46</v>
      </c>
      <c r="E44" s="42">
        <v>0</v>
      </c>
      <c r="F44" s="42">
        <v>2</v>
      </c>
      <c r="G44" s="41" t="s">
        <v>43</v>
      </c>
      <c r="H44" s="40" t="str">
        <f t="shared" si="1"/>
        <v>A</v>
      </c>
    </row>
    <row r="45" spans="1:10" ht="14.25" customHeight="1" x14ac:dyDescent="0.35">
      <c r="A45" s="40">
        <v>37</v>
      </c>
      <c r="B45" s="40" t="s">
        <v>47</v>
      </c>
      <c r="C45" s="40" t="s">
        <v>48</v>
      </c>
      <c r="D45" s="41" t="s">
        <v>49</v>
      </c>
      <c r="E45" s="42">
        <v>1</v>
      </c>
      <c r="F45" s="42">
        <v>0</v>
      </c>
      <c r="G45" s="41" t="s">
        <v>50</v>
      </c>
      <c r="H45" s="40" t="str">
        <f t="shared" si="1"/>
        <v>H</v>
      </c>
      <c r="J45" s="39">
        <v>0</v>
      </c>
    </row>
    <row r="46" spans="1:10" ht="14.25" customHeight="1" x14ac:dyDescent="0.35">
      <c r="A46" s="40">
        <v>38</v>
      </c>
      <c r="B46" s="40" t="s">
        <v>47</v>
      </c>
      <c r="C46" s="40" t="s">
        <v>48</v>
      </c>
      <c r="D46" s="41" t="s">
        <v>51</v>
      </c>
      <c r="E46" s="42">
        <v>1</v>
      </c>
      <c r="F46" s="42">
        <v>1</v>
      </c>
      <c r="G46" s="41" t="s">
        <v>52</v>
      </c>
      <c r="H46" s="40" t="str">
        <f t="shared" si="1"/>
        <v>D</v>
      </c>
      <c r="J46" s="39">
        <v>1</v>
      </c>
    </row>
    <row r="47" spans="1:10" ht="14.25" customHeight="1" x14ac:dyDescent="0.35">
      <c r="A47" s="40">
        <v>39</v>
      </c>
      <c r="B47" s="40" t="s">
        <v>53</v>
      </c>
      <c r="C47" s="40" t="s">
        <v>48</v>
      </c>
      <c r="D47" s="41" t="s">
        <v>49</v>
      </c>
      <c r="E47" s="42">
        <v>2</v>
      </c>
      <c r="F47" s="42">
        <v>0</v>
      </c>
      <c r="G47" s="41" t="s">
        <v>51</v>
      </c>
      <c r="H47" s="40" t="str">
        <f t="shared" si="1"/>
        <v>H</v>
      </c>
    </row>
    <row r="48" spans="1:10" ht="14.25" customHeight="1" x14ac:dyDescent="0.35">
      <c r="A48" s="40">
        <v>40</v>
      </c>
      <c r="B48" s="40" t="s">
        <v>53</v>
      </c>
      <c r="C48" s="40" t="s">
        <v>48</v>
      </c>
      <c r="D48" s="41" t="s">
        <v>52</v>
      </c>
      <c r="E48" s="42">
        <v>0</v>
      </c>
      <c r="F48" s="42">
        <v>1</v>
      </c>
      <c r="G48" s="41" t="s">
        <v>50</v>
      </c>
      <c r="H48" s="40" t="str">
        <f t="shared" si="1"/>
        <v>A</v>
      </c>
    </row>
    <row r="49" spans="1:10" ht="14.25" customHeight="1" x14ac:dyDescent="0.35">
      <c r="A49" s="40">
        <v>41</v>
      </c>
      <c r="B49" s="40" t="s">
        <v>54</v>
      </c>
      <c r="C49" s="40" t="s">
        <v>48</v>
      </c>
      <c r="D49" s="41" t="s">
        <v>50</v>
      </c>
      <c r="E49" s="42">
        <v>1</v>
      </c>
      <c r="F49" s="42">
        <v>1</v>
      </c>
      <c r="G49" s="41" t="s">
        <v>51</v>
      </c>
      <c r="H49" s="40" t="str">
        <f t="shared" si="1"/>
        <v>D</v>
      </c>
    </row>
    <row r="50" spans="1:10" ht="14.25" customHeight="1" x14ac:dyDescent="0.35">
      <c r="A50" s="40">
        <v>42</v>
      </c>
      <c r="B50" s="40" t="s">
        <v>54</v>
      </c>
      <c r="C50" s="40" t="s">
        <v>48</v>
      </c>
      <c r="D50" s="41" t="s">
        <v>52</v>
      </c>
      <c r="E50" s="42">
        <v>0</v>
      </c>
      <c r="F50" s="42">
        <v>2</v>
      </c>
      <c r="G50" s="41" t="s">
        <v>49</v>
      </c>
      <c r="H50" s="40" t="str">
        <f t="shared" si="1"/>
        <v>A</v>
      </c>
    </row>
    <row r="51" spans="1:10" ht="14.25" customHeight="1" x14ac:dyDescent="0.35">
      <c r="A51" s="40">
        <v>43</v>
      </c>
      <c r="B51" s="40" t="s">
        <v>47</v>
      </c>
      <c r="C51" s="40" t="s">
        <v>55</v>
      </c>
      <c r="D51" s="41" t="s">
        <v>56</v>
      </c>
      <c r="E51" s="42">
        <v>4</v>
      </c>
      <c r="F51" s="42">
        <v>0</v>
      </c>
      <c r="G51" s="41" t="s">
        <v>57</v>
      </c>
      <c r="H51" s="40" t="str">
        <f t="shared" si="1"/>
        <v>H</v>
      </c>
      <c r="J51" s="39">
        <v>0</v>
      </c>
    </row>
    <row r="52" spans="1:10" ht="14.25" customHeight="1" x14ac:dyDescent="0.35">
      <c r="A52" s="40">
        <v>44</v>
      </c>
      <c r="B52" s="40" t="s">
        <v>47</v>
      </c>
      <c r="C52" s="40" t="s">
        <v>55</v>
      </c>
      <c r="D52" s="41" t="s">
        <v>58</v>
      </c>
      <c r="E52" s="42">
        <v>0</v>
      </c>
      <c r="F52" s="42">
        <v>2</v>
      </c>
      <c r="G52" s="41" t="s">
        <v>59</v>
      </c>
      <c r="H52" s="40" t="str">
        <f t="shared" si="1"/>
        <v>A</v>
      </c>
      <c r="J52" s="39">
        <v>0</v>
      </c>
    </row>
    <row r="53" spans="1:10" ht="14.25" customHeight="1" x14ac:dyDescent="0.35">
      <c r="A53" s="40">
        <v>45</v>
      </c>
      <c r="B53" s="40" t="s">
        <v>53</v>
      </c>
      <c r="C53" s="40" t="s">
        <v>55</v>
      </c>
      <c r="D53" s="41" t="s">
        <v>56</v>
      </c>
      <c r="E53" s="42">
        <v>3</v>
      </c>
      <c r="F53" s="42">
        <v>0</v>
      </c>
      <c r="G53" s="41" t="s">
        <v>58</v>
      </c>
      <c r="H53" s="40" t="str">
        <f t="shared" si="1"/>
        <v>H</v>
      </c>
    </row>
    <row r="54" spans="1:10" ht="14.25" customHeight="1" x14ac:dyDescent="0.35">
      <c r="A54" s="40">
        <v>46</v>
      </c>
      <c r="B54" s="40" t="s">
        <v>53</v>
      </c>
      <c r="C54" s="40" t="s">
        <v>55</v>
      </c>
      <c r="D54" s="41" t="s">
        <v>59</v>
      </c>
      <c r="E54" s="42">
        <v>3</v>
      </c>
      <c r="F54" s="42">
        <v>0</v>
      </c>
      <c r="G54" s="41" t="s">
        <v>57</v>
      </c>
      <c r="H54" s="40" t="str">
        <f t="shared" si="1"/>
        <v>H</v>
      </c>
    </row>
    <row r="55" spans="1:10" ht="14.25" customHeight="1" x14ac:dyDescent="0.35">
      <c r="A55" s="40">
        <v>47</v>
      </c>
      <c r="B55" s="40" t="s">
        <v>54</v>
      </c>
      <c r="C55" s="40" t="s">
        <v>55</v>
      </c>
      <c r="D55" s="41" t="s">
        <v>57</v>
      </c>
      <c r="E55" s="42">
        <v>0</v>
      </c>
      <c r="F55" s="42">
        <v>1</v>
      </c>
      <c r="G55" s="41" t="s">
        <v>58</v>
      </c>
      <c r="H55" s="40" t="str">
        <f t="shared" si="1"/>
        <v>A</v>
      </c>
    </row>
    <row r="56" spans="1:10" ht="14.25" customHeight="1" x14ac:dyDescent="0.35">
      <c r="A56" s="40">
        <v>48</v>
      </c>
      <c r="B56" s="40" t="s">
        <v>54</v>
      </c>
      <c r="C56" s="40" t="s">
        <v>55</v>
      </c>
      <c r="D56" s="41" t="s">
        <v>59</v>
      </c>
      <c r="E56" s="42">
        <v>1</v>
      </c>
      <c r="F56" s="42">
        <v>2</v>
      </c>
      <c r="G56" s="41" t="s">
        <v>56</v>
      </c>
      <c r="H56" s="40" t="str">
        <f t="shared" si="1"/>
        <v>A</v>
      </c>
    </row>
    <row r="57" spans="1:10" ht="14.25" customHeight="1" x14ac:dyDescent="0.35">
      <c r="A57" s="40">
        <v>49</v>
      </c>
      <c r="B57" s="40" t="s">
        <v>60</v>
      </c>
      <c r="C57" s="40" t="s">
        <v>61</v>
      </c>
      <c r="D57" s="41" t="s">
        <v>62</v>
      </c>
      <c r="E57" s="42">
        <v>2</v>
      </c>
      <c r="F57" s="42">
        <v>0</v>
      </c>
      <c r="G57" s="41" t="s">
        <v>63</v>
      </c>
      <c r="H57" s="40" t="str">
        <f t="shared" si="1"/>
        <v>H</v>
      </c>
      <c r="J57" s="39">
        <v>1</v>
      </c>
    </row>
    <row r="58" spans="1:10" ht="14.25" customHeight="1" x14ac:dyDescent="0.35">
      <c r="A58" s="40">
        <v>50</v>
      </c>
      <c r="B58" s="40" t="s">
        <v>60</v>
      </c>
      <c r="C58" s="40" t="s">
        <v>61</v>
      </c>
      <c r="D58" s="41" t="s">
        <v>64</v>
      </c>
      <c r="E58" s="42">
        <v>0</v>
      </c>
      <c r="F58" s="42">
        <v>1</v>
      </c>
      <c r="G58" s="41" t="s">
        <v>65</v>
      </c>
      <c r="H58" s="40" t="str">
        <f t="shared" si="1"/>
        <v>A</v>
      </c>
      <c r="J58" s="39">
        <v>1</v>
      </c>
    </row>
    <row r="59" spans="1:10" ht="14.25" customHeight="1" x14ac:dyDescent="0.35">
      <c r="A59" s="40">
        <v>51</v>
      </c>
      <c r="B59" s="40" t="s">
        <v>66</v>
      </c>
      <c r="C59" s="40" t="s">
        <v>61</v>
      </c>
      <c r="D59" s="41" t="s">
        <v>62</v>
      </c>
      <c r="E59" s="42">
        <v>3</v>
      </c>
      <c r="F59" s="42">
        <v>0</v>
      </c>
      <c r="G59" s="41" t="s">
        <v>64</v>
      </c>
      <c r="H59" s="40" t="str">
        <f t="shared" si="1"/>
        <v>H</v>
      </c>
    </row>
    <row r="60" spans="1:10" ht="14.25" customHeight="1" x14ac:dyDescent="0.35">
      <c r="A60" s="40">
        <v>52</v>
      </c>
      <c r="B60" s="40" t="s">
        <v>66</v>
      </c>
      <c r="C60" s="40" t="s">
        <v>61</v>
      </c>
      <c r="D60" s="41" t="s">
        <v>65</v>
      </c>
      <c r="E60" s="42">
        <v>1</v>
      </c>
      <c r="F60" s="42">
        <v>1</v>
      </c>
      <c r="G60" s="41" t="s">
        <v>63</v>
      </c>
      <c r="H60" s="40" t="str">
        <f t="shared" si="1"/>
        <v>D</v>
      </c>
    </row>
    <row r="61" spans="1:10" ht="14.25" customHeight="1" x14ac:dyDescent="0.35">
      <c r="A61" s="40">
        <v>53</v>
      </c>
      <c r="B61" s="40" t="s">
        <v>54</v>
      </c>
      <c r="C61" s="40" t="s">
        <v>61</v>
      </c>
      <c r="D61" s="41" t="s">
        <v>65</v>
      </c>
      <c r="E61" s="42">
        <v>0</v>
      </c>
      <c r="F61" s="42">
        <v>2</v>
      </c>
      <c r="G61" s="41" t="s">
        <v>62</v>
      </c>
      <c r="H61" s="40" t="str">
        <f t="shared" si="1"/>
        <v>A</v>
      </c>
    </row>
    <row r="62" spans="1:10" ht="14.25" customHeight="1" x14ac:dyDescent="0.35">
      <c r="A62" s="40">
        <v>54</v>
      </c>
      <c r="B62" s="40" t="s">
        <v>54</v>
      </c>
      <c r="C62" s="40" t="s">
        <v>61</v>
      </c>
      <c r="D62" s="41" t="s">
        <v>63</v>
      </c>
      <c r="E62" s="42">
        <v>1</v>
      </c>
      <c r="F62" s="42">
        <v>0</v>
      </c>
      <c r="G62" s="41" t="s">
        <v>64</v>
      </c>
      <c r="H62" s="40" t="str">
        <f t="shared" si="1"/>
        <v>H</v>
      </c>
    </row>
    <row r="63" spans="1:10" ht="14.25" customHeight="1" x14ac:dyDescent="0.35">
      <c r="A63" s="40">
        <v>55</v>
      </c>
      <c r="B63" s="40" t="s">
        <v>60</v>
      </c>
      <c r="C63" s="40" t="s">
        <v>67</v>
      </c>
      <c r="D63" s="41" t="s">
        <v>68</v>
      </c>
      <c r="E63" s="42">
        <v>2</v>
      </c>
      <c r="F63" s="42">
        <v>0</v>
      </c>
      <c r="G63" s="41" t="s">
        <v>69</v>
      </c>
      <c r="H63" s="40" t="str">
        <f t="shared" si="1"/>
        <v>H</v>
      </c>
      <c r="J63" s="39">
        <v>1</v>
      </c>
    </row>
    <row r="64" spans="1:10" ht="14.25" customHeight="1" x14ac:dyDescent="0.35">
      <c r="A64" s="40">
        <v>56</v>
      </c>
      <c r="B64" s="40" t="s">
        <v>60</v>
      </c>
      <c r="C64" s="40" t="s">
        <v>67</v>
      </c>
      <c r="D64" s="41" t="s">
        <v>70</v>
      </c>
      <c r="E64" s="42">
        <v>2</v>
      </c>
      <c r="F64" s="42">
        <v>0</v>
      </c>
      <c r="G64" s="41" t="s">
        <v>71</v>
      </c>
      <c r="H64" s="40" t="str">
        <f t="shared" si="1"/>
        <v>H</v>
      </c>
      <c r="J64" s="39">
        <v>1</v>
      </c>
    </row>
    <row r="65" spans="1:10" ht="14.25" customHeight="1" x14ac:dyDescent="0.35">
      <c r="A65" s="40">
        <v>57</v>
      </c>
      <c r="B65" s="40" t="s">
        <v>66</v>
      </c>
      <c r="C65" s="40" t="s">
        <v>67</v>
      </c>
      <c r="D65" s="41" t="s">
        <v>68</v>
      </c>
      <c r="E65" s="42">
        <v>2</v>
      </c>
      <c r="F65" s="42">
        <v>0</v>
      </c>
      <c r="G65" s="41" t="s">
        <v>70</v>
      </c>
      <c r="H65" s="40" t="str">
        <f t="shared" si="1"/>
        <v>H</v>
      </c>
    </row>
    <row r="66" spans="1:10" ht="14.25" customHeight="1" x14ac:dyDescent="0.35">
      <c r="A66" s="40">
        <v>58</v>
      </c>
      <c r="B66" s="40" t="s">
        <v>66</v>
      </c>
      <c r="C66" s="40" t="s">
        <v>67</v>
      </c>
      <c r="D66" s="41" t="s">
        <v>71</v>
      </c>
      <c r="E66" s="42">
        <v>0</v>
      </c>
      <c r="F66" s="42">
        <v>1</v>
      </c>
      <c r="G66" s="41" t="s">
        <v>69</v>
      </c>
      <c r="H66" s="40" t="str">
        <f t="shared" si="1"/>
        <v>A</v>
      </c>
    </row>
    <row r="67" spans="1:10" ht="14.25" customHeight="1" x14ac:dyDescent="0.35">
      <c r="A67" s="40">
        <v>59</v>
      </c>
      <c r="B67" s="40" t="s">
        <v>72</v>
      </c>
      <c r="C67" s="40" t="s">
        <v>67</v>
      </c>
      <c r="D67" s="41" t="s">
        <v>69</v>
      </c>
      <c r="E67" s="42">
        <v>0</v>
      </c>
      <c r="F67" s="42">
        <v>1</v>
      </c>
      <c r="G67" s="41" t="s">
        <v>70</v>
      </c>
      <c r="H67" s="40" t="str">
        <f t="shared" si="1"/>
        <v>A</v>
      </c>
    </row>
    <row r="68" spans="1:10" ht="14.25" customHeight="1" x14ac:dyDescent="0.35">
      <c r="A68" s="40">
        <v>60</v>
      </c>
      <c r="B68" s="40" t="s">
        <v>72</v>
      </c>
      <c r="C68" s="40" t="s">
        <v>67</v>
      </c>
      <c r="D68" s="41" t="s">
        <v>71</v>
      </c>
      <c r="E68" s="42">
        <v>0</v>
      </c>
      <c r="F68" s="42">
        <v>3</v>
      </c>
      <c r="G68" s="41" t="s">
        <v>68</v>
      </c>
      <c r="H68" s="40" t="str">
        <f t="shared" si="1"/>
        <v>A</v>
      </c>
    </row>
    <row r="69" spans="1:10" ht="14.25" customHeight="1" x14ac:dyDescent="0.35">
      <c r="A69" s="40">
        <v>61</v>
      </c>
      <c r="B69" s="40" t="s">
        <v>73</v>
      </c>
      <c r="C69" s="40" t="s">
        <v>74</v>
      </c>
      <c r="D69" s="41" t="s">
        <v>75</v>
      </c>
      <c r="E69" s="42">
        <v>3</v>
      </c>
      <c r="F69" s="42">
        <v>0</v>
      </c>
      <c r="G69" s="41" t="s">
        <v>76</v>
      </c>
      <c r="H69" s="40" t="str">
        <f t="shared" si="1"/>
        <v>H</v>
      </c>
      <c r="J69" s="39">
        <v>0</v>
      </c>
    </row>
    <row r="70" spans="1:10" ht="14.25" customHeight="1" x14ac:dyDescent="0.35">
      <c r="A70" s="40">
        <v>62</v>
      </c>
      <c r="B70" s="40" t="s">
        <v>73</v>
      </c>
      <c r="C70" s="40" t="s">
        <v>74</v>
      </c>
      <c r="D70" s="41" t="s">
        <v>77</v>
      </c>
      <c r="E70" s="42">
        <v>0</v>
      </c>
      <c r="F70" s="42">
        <v>2</v>
      </c>
      <c r="G70" s="41" t="s">
        <v>78</v>
      </c>
      <c r="H70" s="40" t="str">
        <f t="shared" si="1"/>
        <v>A</v>
      </c>
      <c r="J70" s="39">
        <v>1</v>
      </c>
    </row>
    <row r="71" spans="1:10" ht="14.25" customHeight="1" x14ac:dyDescent="0.35">
      <c r="A71" s="40">
        <v>63</v>
      </c>
      <c r="B71" s="40" t="s">
        <v>79</v>
      </c>
      <c r="C71" s="40" t="s">
        <v>74</v>
      </c>
      <c r="D71" s="41" t="s">
        <v>75</v>
      </c>
      <c r="E71" s="42">
        <v>3</v>
      </c>
      <c r="F71" s="42">
        <v>0</v>
      </c>
      <c r="G71" s="41" t="s">
        <v>77</v>
      </c>
      <c r="H71" s="40" t="str">
        <f t="shared" si="1"/>
        <v>H</v>
      </c>
    </row>
    <row r="72" spans="1:10" ht="14.25" customHeight="1" x14ac:dyDescent="0.35">
      <c r="A72" s="40">
        <v>64</v>
      </c>
      <c r="B72" s="40" t="s">
        <v>79</v>
      </c>
      <c r="C72" s="40" t="s">
        <v>74</v>
      </c>
      <c r="D72" s="41" t="s">
        <v>78</v>
      </c>
      <c r="E72" s="42">
        <v>2</v>
      </c>
      <c r="F72" s="42">
        <v>0</v>
      </c>
      <c r="G72" s="41" t="s">
        <v>76</v>
      </c>
      <c r="H72" s="40" t="str">
        <f t="shared" si="1"/>
        <v>H</v>
      </c>
    </row>
    <row r="73" spans="1:10" ht="14.25" customHeight="1" x14ac:dyDescent="0.35">
      <c r="A73" s="40">
        <v>65</v>
      </c>
      <c r="B73" s="40" t="s">
        <v>72</v>
      </c>
      <c r="C73" s="40" t="s">
        <v>74</v>
      </c>
      <c r="D73" s="41" t="s">
        <v>78</v>
      </c>
      <c r="E73" s="42">
        <v>1</v>
      </c>
      <c r="F73" s="42">
        <v>2</v>
      </c>
      <c r="G73" s="41" t="s">
        <v>75</v>
      </c>
      <c r="H73" s="40" t="str">
        <f t="shared" ref="H73:H80" si="2">IF(AND(E73&lt;&gt;"",F73&lt;&gt;""),IF(E73&gt;F73,"H",IF(E73&lt;F73,"A","D")),"")</f>
        <v>A</v>
      </c>
    </row>
    <row r="74" spans="1:10" ht="14.25" customHeight="1" x14ac:dyDescent="0.35">
      <c r="A74" s="40">
        <v>66</v>
      </c>
      <c r="B74" s="40" t="s">
        <v>72</v>
      </c>
      <c r="C74" s="40" t="s">
        <v>74</v>
      </c>
      <c r="D74" s="41" t="s">
        <v>76</v>
      </c>
      <c r="E74" s="42">
        <v>1</v>
      </c>
      <c r="F74" s="42">
        <v>1</v>
      </c>
      <c r="G74" s="41" t="s">
        <v>77</v>
      </c>
      <c r="H74" s="40" t="str">
        <f t="shared" si="2"/>
        <v>D</v>
      </c>
    </row>
    <row r="75" spans="1:10" ht="14.25" customHeight="1" x14ac:dyDescent="0.35">
      <c r="A75" s="40">
        <v>67</v>
      </c>
      <c r="B75" s="40" t="s">
        <v>73</v>
      </c>
      <c r="C75" s="40" t="s">
        <v>80</v>
      </c>
      <c r="D75" s="41" t="s">
        <v>81</v>
      </c>
      <c r="E75" s="42">
        <v>2</v>
      </c>
      <c r="F75" s="42">
        <v>1</v>
      </c>
      <c r="G75" s="41" t="s">
        <v>82</v>
      </c>
      <c r="H75" s="40" t="str">
        <f t="shared" si="2"/>
        <v>H</v>
      </c>
      <c r="J75" s="39">
        <v>1</v>
      </c>
    </row>
    <row r="76" spans="1:10" ht="14.25" customHeight="1" x14ac:dyDescent="0.35">
      <c r="A76" s="40">
        <v>68</v>
      </c>
      <c r="B76" s="40" t="s">
        <v>73</v>
      </c>
      <c r="C76" s="40" t="s">
        <v>80</v>
      </c>
      <c r="D76" s="41" t="s">
        <v>83</v>
      </c>
      <c r="E76" s="42">
        <v>1</v>
      </c>
      <c r="F76" s="42">
        <v>0</v>
      </c>
      <c r="G76" s="41" t="s">
        <v>84</v>
      </c>
      <c r="H76" s="40" t="str">
        <f t="shared" si="2"/>
        <v>H</v>
      </c>
      <c r="J76" s="39">
        <v>3</v>
      </c>
    </row>
    <row r="77" spans="1:10" ht="14.25" customHeight="1" x14ac:dyDescent="0.35">
      <c r="A77" s="40">
        <v>69</v>
      </c>
      <c r="B77" s="40" t="s">
        <v>79</v>
      </c>
      <c r="C77" s="40" t="s">
        <v>80</v>
      </c>
      <c r="D77" s="41" t="s">
        <v>81</v>
      </c>
      <c r="E77" s="42">
        <v>2</v>
      </c>
      <c r="F77" s="42">
        <v>1</v>
      </c>
      <c r="G77" s="41" t="s">
        <v>83</v>
      </c>
      <c r="H77" s="40" t="str">
        <f t="shared" si="2"/>
        <v>H</v>
      </c>
    </row>
    <row r="78" spans="1:10" ht="14.25" customHeight="1" x14ac:dyDescent="0.35">
      <c r="A78" s="40">
        <v>70</v>
      </c>
      <c r="B78" s="40" t="s">
        <v>79</v>
      </c>
      <c r="C78" s="40" t="s">
        <v>80</v>
      </c>
      <c r="D78" s="41" t="s">
        <v>84</v>
      </c>
      <c r="E78" s="42">
        <v>0</v>
      </c>
      <c r="F78" s="42">
        <v>2</v>
      </c>
      <c r="G78" s="41" t="s">
        <v>82</v>
      </c>
      <c r="H78" s="40" t="str">
        <f t="shared" si="2"/>
        <v>A</v>
      </c>
    </row>
    <row r="79" spans="1:10" ht="14.25" customHeight="1" x14ac:dyDescent="0.35">
      <c r="A79" s="40">
        <v>71</v>
      </c>
      <c r="B79" s="40" t="s">
        <v>72</v>
      </c>
      <c r="C79" s="40" t="s">
        <v>80</v>
      </c>
      <c r="D79" s="41" t="s">
        <v>84</v>
      </c>
      <c r="E79" s="42">
        <v>0</v>
      </c>
      <c r="F79" s="42">
        <v>2</v>
      </c>
      <c r="G79" s="41" t="s">
        <v>81</v>
      </c>
      <c r="H79" s="40" t="str">
        <f t="shared" si="2"/>
        <v>A</v>
      </c>
    </row>
    <row r="80" spans="1:10" ht="14.25" customHeight="1" x14ac:dyDescent="0.35">
      <c r="A80" s="40">
        <v>72</v>
      </c>
      <c r="B80" s="40" t="s">
        <v>72</v>
      </c>
      <c r="C80" s="40" t="s">
        <v>80</v>
      </c>
      <c r="D80" s="41" t="s">
        <v>82</v>
      </c>
      <c r="E80" s="42">
        <v>1</v>
      </c>
      <c r="F80" s="42">
        <v>0</v>
      </c>
      <c r="G80" s="41" t="s">
        <v>83</v>
      </c>
      <c r="H80" s="40" t="str">
        <f t="shared" si="2"/>
        <v>H</v>
      </c>
      <c r="J80" s="55"/>
    </row>
    <row r="81" spans="10:10" ht="14.25" customHeight="1" x14ac:dyDescent="0.35"/>
    <row r="82" spans="10:10" ht="14.25" customHeight="1" x14ac:dyDescent="0.35">
      <c r="J82" s="39">
        <f>SUM(J8:J80)</f>
        <v>17</v>
      </c>
    </row>
    <row r="83" spans="10:10" ht="14.25" customHeight="1" x14ac:dyDescent="0.35"/>
    <row r="84" spans="10:10" ht="14.25" customHeight="1" x14ac:dyDescent="0.35"/>
    <row r="85" spans="10:10" ht="14.25" customHeight="1" x14ac:dyDescent="0.35"/>
    <row r="86" spans="10:10" ht="14.25" customHeight="1" x14ac:dyDescent="0.35"/>
    <row r="87" spans="10:10" ht="14.25" customHeight="1" x14ac:dyDescent="0.35"/>
    <row r="88" spans="10:10" ht="14.25" customHeight="1" x14ac:dyDescent="0.35"/>
    <row r="89" spans="10:10" ht="14.25" customHeight="1" x14ac:dyDescent="0.35"/>
    <row r="90" spans="10:10" ht="14.25" customHeight="1" x14ac:dyDescent="0.35"/>
    <row r="91" spans="10:10" ht="14.25" customHeight="1" x14ac:dyDescent="0.35"/>
    <row r="92" spans="10:10" ht="14.25" customHeight="1" x14ac:dyDescent="0.35"/>
    <row r="93" spans="10:10" ht="14.25" customHeight="1" x14ac:dyDescent="0.35"/>
    <row r="94" spans="10:10" ht="14.25" customHeight="1" x14ac:dyDescent="0.35"/>
    <row r="95" spans="10:10" ht="14.25" customHeight="1" x14ac:dyDescent="0.35"/>
    <row r="96" spans="10:10" ht="14.25" customHeight="1" x14ac:dyDescent="0.35"/>
    <row r="97" s="39" customFormat="1" ht="14.25" customHeight="1" x14ac:dyDescent="0.35"/>
    <row r="98" s="39" customFormat="1" ht="14.25" customHeight="1" x14ac:dyDescent="0.35"/>
    <row r="99" s="39" customFormat="1" ht="14.25" customHeight="1" x14ac:dyDescent="0.35"/>
    <row r="100" s="39" customFormat="1" ht="14.25" customHeight="1" x14ac:dyDescent="0.35"/>
    <row r="101" s="39" customFormat="1" ht="14.25" customHeight="1" x14ac:dyDescent="0.35"/>
    <row r="102" s="39" customFormat="1" ht="14.25" customHeight="1" x14ac:dyDescent="0.35"/>
    <row r="103" s="39" customFormat="1" ht="14.25" customHeight="1" x14ac:dyDescent="0.35"/>
    <row r="104" s="39" customFormat="1" ht="14.25" customHeight="1" x14ac:dyDescent="0.35"/>
    <row r="105" s="39" customFormat="1" ht="14.25" customHeight="1" x14ac:dyDescent="0.35"/>
    <row r="106" s="39" customFormat="1" ht="14.25" customHeight="1" x14ac:dyDescent="0.35"/>
    <row r="107" s="39" customFormat="1" ht="14.25" customHeight="1" x14ac:dyDescent="0.35"/>
    <row r="108" s="39" customFormat="1" ht="14.25" customHeight="1" x14ac:dyDescent="0.35"/>
    <row r="109" s="39" customFormat="1" ht="14.25" customHeight="1" x14ac:dyDescent="0.35"/>
    <row r="110" s="39" customFormat="1" ht="14.25" customHeight="1" x14ac:dyDescent="0.35"/>
    <row r="111" s="39" customFormat="1" ht="14.25" customHeight="1" x14ac:dyDescent="0.35"/>
    <row r="112" s="39" customFormat="1" ht="14.25" customHeight="1" x14ac:dyDescent="0.35"/>
    <row r="113" s="39" customFormat="1" ht="14.25" customHeight="1" x14ac:dyDescent="0.35"/>
    <row r="114" s="39" customFormat="1" ht="14.25" customHeight="1" x14ac:dyDescent="0.35"/>
    <row r="115" s="39" customFormat="1" ht="14.25" customHeight="1" x14ac:dyDescent="0.35"/>
    <row r="116" s="39" customFormat="1" ht="14.25" customHeight="1" x14ac:dyDescent="0.35"/>
    <row r="117" s="39" customFormat="1" ht="14.25" customHeight="1" x14ac:dyDescent="0.35"/>
    <row r="118" s="39" customFormat="1" ht="14.25" customHeight="1" x14ac:dyDescent="0.35"/>
    <row r="119" s="39" customFormat="1" ht="14.25" customHeight="1" x14ac:dyDescent="0.35"/>
    <row r="120" s="39" customFormat="1" ht="14.25" customHeight="1" x14ac:dyDescent="0.35"/>
    <row r="121" s="39" customFormat="1" ht="14.25" customHeight="1" x14ac:dyDescent="0.35"/>
    <row r="122" s="39" customFormat="1" ht="14.25" customHeight="1" x14ac:dyDescent="0.35"/>
    <row r="123" s="39" customFormat="1" ht="14.25" customHeight="1" x14ac:dyDescent="0.35"/>
    <row r="124" s="39" customFormat="1" ht="14.25" customHeight="1" x14ac:dyDescent="0.35"/>
    <row r="125" s="39" customFormat="1" ht="14.25" customHeight="1" x14ac:dyDescent="0.35"/>
    <row r="126" s="39" customFormat="1" ht="14.25" customHeight="1" x14ac:dyDescent="0.35"/>
    <row r="127" s="39" customFormat="1" ht="14.25" customHeight="1" x14ac:dyDescent="0.35"/>
    <row r="128" s="39" customFormat="1" ht="14.25" customHeight="1" x14ac:dyDescent="0.35"/>
    <row r="129" s="39" customFormat="1" ht="14.25" customHeight="1" x14ac:dyDescent="0.35"/>
    <row r="130" s="39" customFormat="1" ht="14.25" customHeight="1" x14ac:dyDescent="0.35"/>
    <row r="131" s="39" customFormat="1" ht="14.25" customHeight="1" x14ac:dyDescent="0.35"/>
    <row r="132" s="39" customFormat="1" ht="14.25" customHeight="1" x14ac:dyDescent="0.35"/>
    <row r="133" s="39" customFormat="1" ht="14.25" customHeight="1" x14ac:dyDescent="0.35"/>
    <row r="134" s="39" customFormat="1" ht="14.25" customHeight="1" x14ac:dyDescent="0.35"/>
    <row r="135" s="39" customFormat="1" ht="14.25" customHeight="1" x14ac:dyDescent="0.35"/>
    <row r="136" s="39" customFormat="1" ht="14.25" customHeight="1" x14ac:dyDescent="0.35"/>
    <row r="137" s="39" customFormat="1" ht="14.25" customHeight="1" x14ac:dyDescent="0.35"/>
    <row r="138" s="39" customFormat="1" ht="14.25" customHeight="1" x14ac:dyDescent="0.35"/>
    <row r="139" s="39" customFormat="1" ht="14.25" customHeight="1" x14ac:dyDescent="0.35"/>
    <row r="140" s="39" customFormat="1" ht="14.25" customHeight="1" x14ac:dyDescent="0.35"/>
    <row r="141" s="39" customFormat="1" ht="14.25" customHeight="1" x14ac:dyDescent="0.35"/>
    <row r="142" s="39" customFormat="1" ht="14.25" customHeight="1" x14ac:dyDescent="0.35"/>
    <row r="143" s="39" customFormat="1" ht="14.25" customHeight="1" x14ac:dyDescent="0.35"/>
    <row r="144" s="39" customFormat="1" ht="14.25" customHeight="1" x14ac:dyDescent="0.35"/>
    <row r="145" s="39" customFormat="1" ht="14.25" customHeight="1" x14ac:dyDescent="0.35"/>
    <row r="146" s="39" customFormat="1" ht="14.25" customHeight="1" x14ac:dyDescent="0.35"/>
    <row r="147" s="39" customFormat="1" ht="14.25" customHeight="1" x14ac:dyDescent="0.35"/>
    <row r="148" s="39" customFormat="1" ht="14.25" customHeight="1" x14ac:dyDescent="0.35"/>
    <row r="149" s="39" customFormat="1" ht="14.25" customHeight="1" x14ac:dyDescent="0.35"/>
    <row r="150" s="39" customFormat="1" ht="14.25" customHeight="1" x14ac:dyDescent="0.35"/>
    <row r="151" s="39" customFormat="1" ht="14.25" customHeight="1" x14ac:dyDescent="0.35"/>
    <row r="152" s="39" customFormat="1" ht="14.25" customHeight="1" x14ac:dyDescent="0.35"/>
    <row r="153" s="39" customFormat="1" ht="14.25" customHeight="1" x14ac:dyDescent="0.35"/>
    <row r="154" s="39" customFormat="1" ht="14.25" customHeight="1" x14ac:dyDescent="0.35"/>
    <row r="155" s="39" customFormat="1" ht="14.25" customHeight="1" x14ac:dyDescent="0.35"/>
    <row r="156" s="39" customFormat="1" ht="14.25" customHeight="1" x14ac:dyDescent="0.35"/>
    <row r="157" s="39" customFormat="1" ht="14.25" customHeight="1" x14ac:dyDescent="0.35"/>
    <row r="158" s="39" customFormat="1" ht="14.25" customHeight="1" x14ac:dyDescent="0.35"/>
    <row r="159" s="39" customFormat="1" ht="14.25" customHeight="1" x14ac:dyDescent="0.35"/>
    <row r="160" s="39" customFormat="1" ht="14.25" customHeight="1" x14ac:dyDescent="0.35"/>
    <row r="161" s="39" customFormat="1" ht="14.25" customHeight="1" x14ac:dyDescent="0.35"/>
    <row r="162" s="39" customFormat="1" ht="14.25" customHeight="1" x14ac:dyDescent="0.35"/>
    <row r="163" s="39" customFormat="1" ht="14.25" customHeight="1" x14ac:dyDescent="0.35"/>
    <row r="164" s="39" customFormat="1" ht="14.25" customHeight="1" x14ac:dyDescent="0.35"/>
    <row r="165" s="39" customFormat="1" ht="14.25" customHeight="1" x14ac:dyDescent="0.35"/>
    <row r="166" s="39" customFormat="1" ht="14.25" customHeight="1" x14ac:dyDescent="0.35"/>
    <row r="167" s="39" customFormat="1" ht="14.25" customHeight="1" x14ac:dyDescent="0.35"/>
    <row r="168" s="39" customFormat="1" ht="14.25" customHeight="1" x14ac:dyDescent="0.35"/>
    <row r="169" s="39" customFormat="1" ht="14.25" customHeight="1" x14ac:dyDescent="0.35"/>
    <row r="170" s="39" customFormat="1" ht="14.25" customHeight="1" x14ac:dyDescent="0.35"/>
    <row r="171" s="39" customFormat="1" ht="14.25" customHeight="1" x14ac:dyDescent="0.35"/>
    <row r="172" s="39" customFormat="1" ht="14.25" customHeight="1" x14ac:dyDescent="0.35"/>
    <row r="173" s="39" customFormat="1" ht="14.25" customHeight="1" x14ac:dyDescent="0.35"/>
    <row r="174" s="39" customFormat="1" ht="14.25" customHeight="1" x14ac:dyDescent="0.35"/>
    <row r="175" s="39" customFormat="1" ht="14.25" customHeight="1" x14ac:dyDescent="0.35"/>
    <row r="176" s="39" customFormat="1" ht="14.25" customHeight="1" x14ac:dyDescent="0.35"/>
    <row r="177" s="39" customFormat="1" ht="14.25" customHeight="1" x14ac:dyDescent="0.35"/>
    <row r="178" s="39" customFormat="1" ht="14.25" customHeight="1" x14ac:dyDescent="0.35"/>
    <row r="179" s="39" customFormat="1" ht="14.25" customHeight="1" x14ac:dyDescent="0.35"/>
    <row r="180" s="39" customFormat="1" ht="14.25" customHeight="1" x14ac:dyDescent="0.35"/>
    <row r="181" s="39" customFormat="1" ht="14.25" customHeight="1" x14ac:dyDescent="0.35"/>
    <row r="182" s="39" customFormat="1" ht="14.25" customHeight="1" x14ac:dyDescent="0.35"/>
    <row r="183" s="39" customFormat="1" ht="14.25" customHeight="1" x14ac:dyDescent="0.35"/>
    <row r="184" s="39" customFormat="1" ht="14.25" customHeight="1" x14ac:dyDescent="0.35"/>
    <row r="185" s="39" customFormat="1" ht="14.25" customHeight="1" x14ac:dyDescent="0.35"/>
    <row r="186" s="39" customFormat="1" ht="14.25" customHeight="1" x14ac:dyDescent="0.35"/>
    <row r="187" s="39" customFormat="1" ht="14.25" customHeight="1" x14ac:dyDescent="0.35"/>
    <row r="188" s="39" customFormat="1" ht="14.25" customHeight="1" x14ac:dyDescent="0.35"/>
    <row r="189" s="39" customFormat="1" ht="14.25" customHeight="1" x14ac:dyDescent="0.35"/>
    <row r="190" s="39" customFormat="1" ht="14.25" customHeight="1" x14ac:dyDescent="0.35"/>
    <row r="191" s="39" customFormat="1" ht="14.25" customHeight="1" x14ac:dyDescent="0.35"/>
    <row r="192" s="39" customFormat="1" ht="14.25" customHeight="1" x14ac:dyDescent="0.35"/>
    <row r="193" s="39" customFormat="1" ht="14.25" customHeight="1" x14ac:dyDescent="0.35"/>
    <row r="194" s="39" customFormat="1" ht="14.25" customHeight="1" x14ac:dyDescent="0.35"/>
    <row r="195" s="39" customFormat="1" ht="14.25" customHeight="1" x14ac:dyDescent="0.35"/>
    <row r="196" s="39" customFormat="1" ht="14.25" customHeight="1" x14ac:dyDescent="0.35"/>
    <row r="197" s="39" customFormat="1" ht="14.25" customHeight="1" x14ac:dyDescent="0.35"/>
    <row r="198" s="39" customFormat="1" ht="14.25" customHeight="1" x14ac:dyDescent="0.35"/>
    <row r="199" s="39" customFormat="1" ht="14.25" customHeight="1" x14ac:dyDescent="0.35"/>
    <row r="200" s="39" customFormat="1" ht="14.25" customHeight="1" x14ac:dyDescent="0.35"/>
    <row r="201" s="39" customFormat="1" ht="14.25" customHeight="1" x14ac:dyDescent="0.35"/>
    <row r="202" s="39" customFormat="1" ht="14.25" customHeight="1" x14ac:dyDescent="0.35"/>
    <row r="203" s="39" customFormat="1" ht="14.25" customHeight="1" x14ac:dyDescent="0.35"/>
    <row r="204" s="39" customFormat="1" ht="14.25" customHeight="1" x14ac:dyDescent="0.35"/>
    <row r="205" s="39" customFormat="1" ht="14.25" customHeight="1" x14ac:dyDescent="0.35"/>
    <row r="206" s="39" customFormat="1" ht="14.25" customHeight="1" x14ac:dyDescent="0.35"/>
    <row r="207" s="39" customFormat="1" ht="14.25" customHeight="1" x14ac:dyDescent="0.35"/>
    <row r="208" s="39" customFormat="1" ht="14.25" customHeight="1" x14ac:dyDescent="0.35"/>
    <row r="209" s="39" customFormat="1" ht="14.25" customHeight="1" x14ac:dyDescent="0.35"/>
    <row r="210" s="39" customFormat="1" ht="14.25" customHeight="1" x14ac:dyDescent="0.35"/>
    <row r="211" s="39" customFormat="1" ht="14.25" customHeight="1" x14ac:dyDescent="0.35"/>
    <row r="212" s="39" customFormat="1" ht="14.25" customHeight="1" x14ac:dyDescent="0.35"/>
    <row r="213" s="39" customFormat="1" ht="14.25" customHeight="1" x14ac:dyDescent="0.35"/>
    <row r="214" s="39" customFormat="1" ht="14.25" customHeight="1" x14ac:dyDescent="0.35"/>
    <row r="215" s="39" customFormat="1" ht="14.25" customHeight="1" x14ac:dyDescent="0.35"/>
    <row r="216" s="39" customFormat="1" ht="14.25" customHeight="1" x14ac:dyDescent="0.35"/>
    <row r="217" s="39" customFormat="1" ht="14.25" customHeight="1" x14ac:dyDescent="0.35"/>
    <row r="218" s="39" customFormat="1" ht="14.25" customHeight="1" x14ac:dyDescent="0.35"/>
    <row r="219" s="39" customFormat="1" ht="14.25" customHeight="1" x14ac:dyDescent="0.35"/>
    <row r="220" s="39" customFormat="1" ht="14.25" customHeight="1" x14ac:dyDescent="0.35"/>
    <row r="221" s="39" customFormat="1" ht="14.25" customHeight="1" x14ac:dyDescent="0.35"/>
    <row r="222" s="39" customFormat="1" ht="14.25" customHeight="1" x14ac:dyDescent="0.35"/>
    <row r="223" s="39" customFormat="1" ht="14.25" customHeight="1" x14ac:dyDescent="0.35"/>
    <row r="224" s="39" customFormat="1" ht="14.25" customHeight="1" x14ac:dyDescent="0.35"/>
    <row r="225" s="39" customFormat="1" ht="14.25" customHeight="1" x14ac:dyDescent="0.35"/>
    <row r="226" s="39" customFormat="1" ht="14.25" customHeight="1" x14ac:dyDescent="0.35"/>
    <row r="227" s="39" customFormat="1" ht="14.25" customHeight="1" x14ac:dyDescent="0.35"/>
    <row r="228" s="39" customFormat="1" ht="14.25" customHeight="1" x14ac:dyDescent="0.35"/>
    <row r="229" s="39" customFormat="1" ht="14.25" customHeight="1" x14ac:dyDescent="0.35"/>
    <row r="230" s="39" customFormat="1" ht="14.25" customHeight="1" x14ac:dyDescent="0.35"/>
    <row r="231" s="39" customFormat="1" ht="14.25" customHeight="1" x14ac:dyDescent="0.35"/>
    <row r="232" s="39" customFormat="1" ht="14.25" customHeight="1" x14ac:dyDescent="0.35"/>
    <row r="233" s="39" customFormat="1" ht="14.25" customHeight="1" x14ac:dyDescent="0.35"/>
    <row r="234" s="39" customFormat="1" ht="14.25" customHeight="1" x14ac:dyDescent="0.35"/>
    <row r="235" s="39" customFormat="1" ht="14.25" customHeight="1" x14ac:dyDescent="0.35"/>
    <row r="236" s="39" customFormat="1" ht="14.25" customHeight="1" x14ac:dyDescent="0.35"/>
    <row r="237" s="39" customFormat="1" ht="14.25" customHeight="1" x14ac:dyDescent="0.35"/>
    <row r="238" s="39" customFormat="1" ht="14.25" customHeight="1" x14ac:dyDescent="0.35"/>
    <row r="239" s="39" customFormat="1" ht="14.25" customHeight="1" x14ac:dyDescent="0.35"/>
    <row r="240" s="39" customFormat="1" ht="14.25" customHeight="1" x14ac:dyDescent="0.35"/>
    <row r="241" s="39" customFormat="1" ht="14.25" customHeight="1" x14ac:dyDescent="0.35"/>
    <row r="242" s="39" customFormat="1" ht="14.25" customHeight="1" x14ac:dyDescent="0.35"/>
    <row r="243" s="39" customFormat="1" ht="14.25" customHeight="1" x14ac:dyDescent="0.35"/>
    <row r="244" s="39" customFormat="1" ht="14.25" customHeight="1" x14ac:dyDescent="0.35"/>
    <row r="245" s="39" customFormat="1" ht="14.25" customHeight="1" x14ac:dyDescent="0.35"/>
    <row r="246" s="39" customFormat="1" ht="14.25" customHeight="1" x14ac:dyDescent="0.35"/>
    <row r="247" s="39" customFormat="1" ht="14.25" customHeight="1" x14ac:dyDescent="0.35"/>
    <row r="248" s="39" customFormat="1" ht="14.25" customHeight="1" x14ac:dyDescent="0.35"/>
    <row r="249" s="39" customFormat="1" ht="14.25" customHeight="1" x14ac:dyDescent="0.35"/>
    <row r="250" s="39" customFormat="1" ht="14.25" customHeight="1" x14ac:dyDescent="0.35"/>
    <row r="251" s="39" customFormat="1" ht="14.25" customHeight="1" x14ac:dyDescent="0.35"/>
    <row r="252" s="39" customFormat="1" ht="14.25" customHeight="1" x14ac:dyDescent="0.35"/>
    <row r="253" s="39" customFormat="1" ht="14.25" customHeight="1" x14ac:dyDescent="0.35"/>
    <row r="254" s="39" customFormat="1" ht="14.25" customHeight="1" x14ac:dyDescent="0.35"/>
    <row r="255" s="39" customFormat="1" ht="14.25" customHeight="1" x14ac:dyDescent="0.35"/>
    <row r="256" s="39" customFormat="1" ht="14.25" customHeight="1" x14ac:dyDescent="0.35"/>
    <row r="257" s="39" customFormat="1" ht="14.25" customHeight="1" x14ac:dyDescent="0.35"/>
    <row r="258" s="39" customFormat="1" ht="14.25" customHeight="1" x14ac:dyDescent="0.35"/>
    <row r="259" s="39" customFormat="1" ht="14.25" customHeight="1" x14ac:dyDescent="0.35"/>
    <row r="260" s="39" customFormat="1" ht="14.25" customHeight="1" x14ac:dyDescent="0.35"/>
    <row r="261" s="39" customFormat="1" ht="14.25" customHeight="1" x14ac:dyDescent="0.35"/>
    <row r="262" s="39" customFormat="1" ht="14.25" customHeight="1" x14ac:dyDescent="0.35"/>
    <row r="263" s="39" customFormat="1" ht="14.25" customHeight="1" x14ac:dyDescent="0.35"/>
    <row r="264" s="39" customFormat="1" ht="14.25" customHeight="1" x14ac:dyDescent="0.35"/>
    <row r="265" s="39" customFormat="1" ht="14.25" customHeight="1" x14ac:dyDescent="0.35"/>
    <row r="266" s="39" customFormat="1" ht="14.25" customHeight="1" x14ac:dyDescent="0.35"/>
    <row r="267" s="39" customFormat="1" ht="14.25" customHeight="1" x14ac:dyDescent="0.35"/>
    <row r="268" s="39" customFormat="1" ht="14.25" customHeight="1" x14ac:dyDescent="0.35"/>
    <row r="269" s="39" customFormat="1" ht="14.25" customHeight="1" x14ac:dyDescent="0.35"/>
    <row r="270" s="39" customFormat="1" ht="14.25" customHeight="1" x14ac:dyDescent="0.35"/>
    <row r="271" s="39" customFormat="1" ht="14.25" customHeight="1" x14ac:dyDescent="0.35"/>
    <row r="272" s="39" customFormat="1" ht="14.25" customHeight="1" x14ac:dyDescent="0.35"/>
    <row r="273" s="39" customFormat="1" ht="14.25" customHeight="1" x14ac:dyDescent="0.35"/>
    <row r="274" s="39" customFormat="1" ht="14.25" customHeight="1" x14ac:dyDescent="0.35"/>
    <row r="275" s="39" customFormat="1" ht="14.25" customHeight="1" x14ac:dyDescent="0.35"/>
    <row r="276" s="39" customFormat="1" ht="14.25" customHeight="1" x14ac:dyDescent="0.35"/>
    <row r="277" s="39" customFormat="1" ht="14.25" customHeight="1" x14ac:dyDescent="0.35"/>
    <row r="278" s="39" customFormat="1" ht="14.25" customHeight="1" x14ac:dyDescent="0.35"/>
    <row r="279" s="39" customFormat="1" ht="14.25" customHeight="1" x14ac:dyDescent="0.35"/>
    <row r="280" s="39" customFormat="1" ht="14.25" customHeight="1" x14ac:dyDescent="0.35"/>
    <row r="281" s="39" customFormat="1" ht="14.25" customHeight="1" x14ac:dyDescent="0.35"/>
    <row r="282" s="39" customFormat="1" ht="14.25" customHeight="1" x14ac:dyDescent="0.35"/>
    <row r="283" s="39" customFormat="1" ht="14.25" customHeight="1" x14ac:dyDescent="0.35"/>
    <row r="284" s="39" customFormat="1" ht="14.25" customHeight="1" x14ac:dyDescent="0.35"/>
    <row r="285" s="39" customFormat="1" ht="14.25" customHeight="1" x14ac:dyDescent="0.35"/>
    <row r="286" s="39" customFormat="1" ht="14.25" customHeight="1" x14ac:dyDescent="0.35"/>
    <row r="287" s="39" customFormat="1" ht="14.25" customHeight="1" x14ac:dyDescent="0.35"/>
    <row r="288" s="39" customFormat="1" ht="14.25" customHeight="1" x14ac:dyDescent="0.35"/>
    <row r="289" s="39" customFormat="1" ht="14.25" customHeight="1" x14ac:dyDescent="0.35"/>
    <row r="290" s="39" customFormat="1" ht="14.25" customHeight="1" x14ac:dyDescent="0.35"/>
    <row r="291" s="39" customFormat="1" ht="14.25" customHeight="1" x14ac:dyDescent="0.35"/>
    <row r="292" s="39" customFormat="1" ht="14.25" customHeight="1" x14ac:dyDescent="0.35"/>
    <row r="293" s="39" customFormat="1" ht="14.25" customHeight="1" x14ac:dyDescent="0.35"/>
    <row r="294" s="39" customFormat="1" ht="14.25" customHeight="1" x14ac:dyDescent="0.35"/>
    <row r="295" s="39" customFormat="1" ht="14.25" customHeight="1" x14ac:dyDescent="0.35"/>
    <row r="296" s="39" customFormat="1" ht="14.25" customHeight="1" x14ac:dyDescent="0.35"/>
    <row r="297" s="39" customFormat="1" ht="14.25" customHeight="1" x14ac:dyDescent="0.35"/>
    <row r="298" s="39" customFormat="1" ht="14.25" customHeight="1" x14ac:dyDescent="0.35"/>
    <row r="299" s="39" customFormat="1" ht="14.25" customHeight="1" x14ac:dyDescent="0.35"/>
    <row r="300" s="39" customFormat="1" ht="14.25" customHeight="1" x14ac:dyDescent="0.35"/>
    <row r="301" s="39" customFormat="1" ht="14.25" customHeight="1" x14ac:dyDescent="0.35"/>
    <row r="302" s="39" customFormat="1" ht="14.25" customHeight="1" x14ac:dyDescent="0.35"/>
    <row r="303" s="39" customFormat="1" ht="14.25" customHeight="1" x14ac:dyDescent="0.35"/>
    <row r="304" s="39" customFormat="1" ht="14.25" customHeight="1" x14ac:dyDescent="0.35"/>
    <row r="305" s="39" customFormat="1" ht="14.25" customHeight="1" x14ac:dyDescent="0.35"/>
    <row r="306" s="39" customFormat="1" ht="14.25" customHeight="1" x14ac:dyDescent="0.35"/>
    <row r="307" s="39" customFormat="1" ht="14.25" customHeight="1" x14ac:dyDescent="0.35"/>
    <row r="308" s="39" customFormat="1" ht="14.25" customHeight="1" x14ac:dyDescent="0.35"/>
    <row r="309" s="39" customFormat="1" ht="14.25" customHeight="1" x14ac:dyDescent="0.35"/>
    <row r="310" s="39" customFormat="1" ht="14.25" customHeight="1" x14ac:dyDescent="0.35"/>
    <row r="311" s="39" customFormat="1" ht="14.25" customHeight="1" x14ac:dyDescent="0.35"/>
    <row r="312" s="39" customFormat="1" ht="14.25" customHeight="1" x14ac:dyDescent="0.35"/>
    <row r="313" s="39" customFormat="1" ht="14.25" customHeight="1" x14ac:dyDescent="0.35"/>
    <row r="314" s="39" customFormat="1" ht="14.25" customHeight="1" x14ac:dyDescent="0.35"/>
    <row r="315" s="39" customFormat="1" ht="14.25" customHeight="1" x14ac:dyDescent="0.35"/>
    <row r="316" s="39" customFormat="1" ht="14.25" customHeight="1" x14ac:dyDescent="0.35"/>
    <row r="317" s="39" customFormat="1" ht="14.25" customHeight="1" x14ac:dyDescent="0.35"/>
    <row r="318" s="39" customFormat="1" ht="14.25" customHeight="1" x14ac:dyDescent="0.35"/>
    <row r="319" s="39" customFormat="1" ht="14.25" customHeight="1" x14ac:dyDescent="0.35"/>
    <row r="320" s="39" customFormat="1" ht="14.25" customHeight="1" x14ac:dyDescent="0.35"/>
    <row r="321" s="39" customFormat="1" ht="14.25" customHeight="1" x14ac:dyDescent="0.35"/>
    <row r="322" s="39" customFormat="1" ht="14.25" customHeight="1" x14ac:dyDescent="0.35"/>
    <row r="323" s="39" customFormat="1" ht="14.25" customHeight="1" x14ac:dyDescent="0.35"/>
    <row r="324" s="39" customFormat="1" ht="14.25" customHeight="1" x14ac:dyDescent="0.35"/>
    <row r="325" s="39" customFormat="1" ht="14.25" customHeight="1" x14ac:dyDescent="0.35"/>
    <row r="326" s="39" customFormat="1" ht="14.25" customHeight="1" x14ac:dyDescent="0.35"/>
    <row r="327" s="39" customFormat="1" ht="14.25" customHeight="1" x14ac:dyDescent="0.35"/>
    <row r="328" s="39" customFormat="1" ht="14.25" customHeight="1" x14ac:dyDescent="0.35"/>
    <row r="329" s="39" customFormat="1" ht="14.25" customHeight="1" x14ac:dyDescent="0.35"/>
    <row r="330" s="39" customFormat="1" ht="14.25" customHeight="1" x14ac:dyDescent="0.35"/>
    <row r="331" s="39" customFormat="1" ht="14.25" customHeight="1" x14ac:dyDescent="0.35"/>
    <row r="332" s="39" customFormat="1" ht="14.25" customHeight="1" x14ac:dyDescent="0.35"/>
    <row r="333" s="39" customFormat="1" ht="14.25" customHeight="1" x14ac:dyDescent="0.35"/>
    <row r="334" s="39" customFormat="1" ht="14.25" customHeight="1" x14ac:dyDescent="0.35"/>
    <row r="335" s="39" customFormat="1" ht="14.25" customHeight="1" x14ac:dyDescent="0.35"/>
    <row r="336" s="39" customFormat="1" ht="14.25" customHeight="1" x14ac:dyDescent="0.35"/>
    <row r="337" s="39" customFormat="1" ht="14.25" customHeight="1" x14ac:dyDescent="0.35"/>
    <row r="338" s="39" customFormat="1" ht="14.25" customHeight="1" x14ac:dyDescent="0.35"/>
    <row r="339" s="39" customFormat="1" ht="14.25" customHeight="1" x14ac:dyDescent="0.35"/>
    <row r="340" s="39" customFormat="1" ht="14.25" customHeight="1" x14ac:dyDescent="0.35"/>
    <row r="341" s="39" customFormat="1" ht="14.25" customHeight="1" x14ac:dyDescent="0.35"/>
    <row r="342" s="39" customFormat="1" ht="14.25" customHeight="1" x14ac:dyDescent="0.35"/>
    <row r="343" s="39" customFormat="1" ht="14.25" customHeight="1" x14ac:dyDescent="0.35"/>
    <row r="344" s="39" customFormat="1" ht="14.25" customHeight="1" x14ac:dyDescent="0.35"/>
    <row r="345" s="39" customFormat="1" ht="14.25" customHeight="1" x14ac:dyDescent="0.35"/>
    <row r="346" s="39" customFormat="1" ht="14.25" customHeight="1" x14ac:dyDescent="0.35"/>
    <row r="347" s="39" customFormat="1" ht="14.25" customHeight="1" x14ac:dyDescent="0.35"/>
    <row r="348" s="39" customFormat="1" ht="14.25" customHeight="1" x14ac:dyDescent="0.35"/>
    <row r="349" s="39" customFormat="1" ht="14.25" customHeight="1" x14ac:dyDescent="0.35"/>
    <row r="350" s="39" customFormat="1" ht="14.25" customHeight="1" x14ac:dyDescent="0.35"/>
    <row r="351" s="39" customFormat="1" ht="14.25" customHeight="1" x14ac:dyDescent="0.35"/>
    <row r="352" s="39" customFormat="1" ht="14.25" customHeight="1" x14ac:dyDescent="0.35"/>
    <row r="353" s="39" customFormat="1" ht="14.25" customHeight="1" x14ac:dyDescent="0.35"/>
    <row r="354" s="39" customFormat="1" ht="14.25" customHeight="1" x14ac:dyDescent="0.35"/>
    <row r="355" s="39" customFormat="1" ht="14.25" customHeight="1" x14ac:dyDescent="0.35"/>
    <row r="356" s="39" customFormat="1" ht="14.25" customHeight="1" x14ac:dyDescent="0.35"/>
    <row r="357" s="39" customFormat="1" ht="14.25" customHeight="1" x14ac:dyDescent="0.35"/>
    <row r="358" s="39" customFormat="1" ht="14.25" customHeight="1" x14ac:dyDescent="0.35"/>
    <row r="359" s="39" customFormat="1" ht="14.25" customHeight="1" x14ac:dyDescent="0.35"/>
    <row r="360" s="39" customFormat="1" ht="14.25" customHeight="1" x14ac:dyDescent="0.35"/>
    <row r="361" s="39" customFormat="1" ht="14.25" customHeight="1" x14ac:dyDescent="0.35"/>
    <row r="362" s="39" customFormat="1" ht="14.25" customHeight="1" x14ac:dyDescent="0.35"/>
    <row r="363" s="39" customFormat="1" ht="14.25" customHeight="1" x14ac:dyDescent="0.35"/>
    <row r="364" s="39" customFormat="1" ht="14.25" customHeight="1" x14ac:dyDescent="0.35"/>
    <row r="365" s="39" customFormat="1" ht="14.25" customHeight="1" x14ac:dyDescent="0.35"/>
    <row r="366" s="39" customFormat="1" ht="14.25" customHeight="1" x14ac:dyDescent="0.35"/>
    <row r="367" s="39" customFormat="1" ht="14.25" customHeight="1" x14ac:dyDescent="0.35"/>
    <row r="368" s="39" customFormat="1" ht="14.25" customHeight="1" x14ac:dyDescent="0.35"/>
    <row r="369" s="39" customFormat="1" ht="14.25" customHeight="1" x14ac:dyDescent="0.35"/>
    <row r="370" s="39" customFormat="1" ht="14.25" customHeight="1" x14ac:dyDescent="0.35"/>
    <row r="371" s="39" customFormat="1" ht="14.25" customHeight="1" x14ac:dyDescent="0.35"/>
    <row r="372" s="39" customFormat="1" ht="14.25" customHeight="1" x14ac:dyDescent="0.35"/>
    <row r="373" s="39" customFormat="1" ht="14.25" customHeight="1" x14ac:dyDescent="0.35"/>
    <row r="374" s="39" customFormat="1" ht="14.25" customHeight="1" x14ac:dyDescent="0.35"/>
    <row r="375" s="39" customFormat="1" ht="14.25" customHeight="1" x14ac:dyDescent="0.35"/>
    <row r="376" s="39" customFormat="1" ht="14.25" customHeight="1" x14ac:dyDescent="0.35"/>
    <row r="377" s="39" customFormat="1" ht="14.25" customHeight="1" x14ac:dyDescent="0.35"/>
    <row r="378" s="39" customFormat="1" ht="14.25" customHeight="1" x14ac:dyDescent="0.35"/>
    <row r="379" s="39" customFormat="1" ht="14.25" customHeight="1" x14ac:dyDescent="0.35"/>
    <row r="380" s="39" customFormat="1" ht="14.25" customHeight="1" x14ac:dyDescent="0.35"/>
    <row r="381" s="39" customFormat="1" ht="14.25" customHeight="1" x14ac:dyDescent="0.35"/>
    <row r="382" s="39" customFormat="1" ht="14.25" customHeight="1" x14ac:dyDescent="0.35"/>
    <row r="383" s="39" customFormat="1" ht="14.25" customHeight="1" x14ac:dyDescent="0.35"/>
    <row r="384" s="39" customFormat="1" ht="14.25" customHeight="1" x14ac:dyDescent="0.35"/>
    <row r="385" s="39" customFormat="1" ht="14.25" customHeight="1" x14ac:dyDescent="0.35"/>
    <row r="386" s="39" customFormat="1" ht="14.25" customHeight="1" x14ac:dyDescent="0.35"/>
    <row r="387" s="39" customFormat="1" ht="14.25" customHeight="1" x14ac:dyDescent="0.35"/>
    <row r="388" s="39" customFormat="1" ht="14.25" customHeight="1" x14ac:dyDescent="0.35"/>
    <row r="389" s="39" customFormat="1" ht="14.25" customHeight="1" x14ac:dyDescent="0.35"/>
    <row r="390" s="39" customFormat="1" ht="14.25" customHeight="1" x14ac:dyDescent="0.35"/>
    <row r="391" s="39" customFormat="1" ht="14.25" customHeight="1" x14ac:dyDescent="0.35"/>
    <row r="392" s="39" customFormat="1" ht="14.25" customHeight="1" x14ac:dyDescent="0.35"/>
    <row r="393" s="39" customFormat="1" ht="14.25" customHeight="1" x14ac:dyDescent="0.35"/>
    <row r="394" s="39" customFormat="1" ht="14.25" customHeight="1" x14ac:dyDescent="0.35"/>
    <row r="395" s="39" customFormat="1" ht="14.25" customHeight="1" x14ac:dyDescent="0.35"/>
    <row r="396" s="39" customFormat="1" ht="14.25" customHeight="1" x14ac:dyDescent="0.35"/>
    <row r="397" s="39" customFormat="1" ht="14.25" customHeight="1" x14ac:dyDescent="0.35"/>
    <row r="398" s="39" customFormat="1" ht="14.25" customHeight="1" x14ac:dyDescent="0.35"/>
    <row r="399" s="39" customFormat="1" ht="14.25" customHeight="1" x14ac:dyDescent="0.35"/>
    <row r="400" s="39" customFormat="1" ht="14.25" customHeight="1" x14ac:dyDescent="0.35"/>
    <row r="401" s="39" customFormat="1" ht="14.25" customHeight="1" x14ac:dyDescent="0.35"/>
    <row r="402" s="39" customFormat="1" ht="14.25" customHeight="1" x14ac:dyDescent="0.35"/>
    <row r="403" s="39" customFormat="1" ht="14.25" customHeight="1" x14ac:dyDescent="0.35"/>
    <row r="404" s="39" customFormat="1" ht="14.25" customHeight="1" x14ac:dyDescent="0.35"/>
    <row r="405" s="39" customFormat="1" ht="14.25" customHeight="1" x14ac:dyDescent="0.35"/>
    <row r="406" s="39" customFormat="1" ht="14.25" customHeight="1" x14ac:dyDescent="0.35"/>
    <row r="407" s="39" customFormat="1" ht="14.25" customHeight="1" x14ac:dyDescent="0.35"/>
    <row r="408" s="39" customFormat="1" ht="14.25" customHeight="1" x14ac:dyDescent="0.35"/>
    <row r="409" s="39" customFormat="1" ht="14.25" customHeight="1" x14ac:dyDescent="0.35"/>
    <row r="410" s="39" customFormat="1" ht="14.25" customHeight="1" x14ac:dyDescent="0.35"/>
    <row r="411" s="39" customFormat="1" ht="14.25" customHeight="1" x14ac:dyDescent="0.35"/>
    <row r="412" s="39" customFormat="1" ht="14.25" customHeight="1" x14ac:dyDescent="0.35"/>
    <row r="413" s="39" customFormat="1" ht="14.25" customHeight="1" x14ac:dyDescent="0.35"/>
    <row r="414" s="39" customFormat="1" ht="14.25" customHeight="1" x14ac:dyDescent="0.35"/>
    <row r="415" s="39" customFormat="1" ht="14.25" customHeight="1" x14ac:dyDescent="0.35"/>
    <row r="416" s="39" customFormat="1" ht="14.25" customHeight="1" x14ac:dyDescent="0.35"/>
    <row r="417" s="39" customFormat="1" ht="14.25" customHeight="1" x14ac:dyDescent="0.35"/>
    <row r="418" s="39" customFormat="1" ht="14.25" customHeight="1" x14ac:dyDescent="0.35"/>
    <row r="419" s="39" customFormat="1" ht="14.25" customHeight="1" x14ac:dyDescent="0.35"/>
    <row r="420" s="39" customFormat="1" ht="14.25" customHeight="1" x14ac:dyDescent="0.35"/>
    <row r="421" s="39" customFormat="1" ht="14.25" customHeight="1" x14ac:dyDescent="0.35"/>
    <row r="422" s="39" customFormat="1" ht="14.25" customHeight="1" x14ac:dyDescent="0.35"/>
    <row r="423" s="39" customFormat="1" ht="14.25" customHeight="1" x14ac:dyDescent="0.35"/>
    <row r="424" s="39" customFormat="1" ht="14.25" customHeight="1" x14ac:dyDescent="0.35"/>
    <row r="425" s="39" customFormat="1" ht="14.25" customHeight="1" x14ac:dyDescent="0.35"/>
    <row r="426" s="39" customFormat="1" ht="14.25" customHeight="1" x14ac:dyDescent="0.35"/>
    <row r="427" s="39" customFormat="1" ht="14.25" customHeight="1" x14ac:dyDescent="0.35"/>
    <row r="428" s="39" customFormat="1" ht="14.25" customHeight="1" x14ac:dyDescent="0.35"/>
    <row r="429" s="39" customFormat="1" ht="14.25" customHeight="1" x14ac:dyDescent="0.35"/>
    <row r="430" s="39" customFormat="1" ht="14.25" customHeight="1" x14ac:dyDescent="0.35"/>
    <row r="431" s="39" customFormat="1" ht="14.25" customHeight="1" x14ac:dyDescent="0.35"/>
    <row r="432" s="39" customFormat="1" ht="14.25" customHeight="1" x14ac:dyDescent="0.35"/>
    <row r="433" s="39" customFormat="1" ht="14.25" customHeight="1" x14ac:dyDescent="0.35"/>
    <row r="434" s="39" customFormat="1" ht="14.25" customHeight="1" x14ac:dyDescent="0.35"/>
    <row r="435" s="39" customFormat="1" ht="14.25" customHeight="1" x14ac:dyDescent="0.35"/>
    <row r="436" s="39" customFormat="1" ht="14.25" customHeight="1" x14ac:dyDescent="0.35"/>
    <row r="437" s="39" customFormat="1" ht="14.25" customHeight="1" x14ac:dyDescent="0.35"/>
    <row r="438" s="39" customFormat="1" ht="14.25" customHeight="1" x14ac:dyDescent="0.35"/>
    <row r="439" s="39" customFormat="1" ht="14.25" customHeight="1" x14ac:dyDescent="0.35"/>
    <row r="440" s="39" customFormat="1" ht="14.25" customHeight="1" x14ac:dyDescent="0.35"/>
    <row r="441" s="39" customFormat="1" ht="14.25" customHeight="1" x14ac:dyDescent="0.35"/>
    <row r="442" s="39" customFormat="1" ht="14.25" customHeight="1" x14ac:dyDescent="0.35"/>
    <row r="443" s="39" customFormat="1" ht="14.25" customHeight="1" x14ac:dyDescent="0.35"/>
    <row r="444" s="39" customFormat="1" ht="14.25" customHeight="1" x14ac:dyDescent="0.35"/>
    <row r="445" s="39" customFormat="1" ht="14.25" customHeight="1" x14ac:dyDescent="0.35"/>
    <row r="446" s="39" customFormat="1" ht="14.25" customHeight="1" x14ac:dyDescent="0.35"/>
    <row r="447" s="39" customFormat="1" ht="14.25" customHeight="1" x14ac:dyDescent="0.35"/>
    <row r="448" s="39" customFormat="1" ht="14.25" customHeight="1" x14ac:dyDescent="0.35"/>
    <row r="449" s="39" customFormat="1" ht="14.25" customHeight="1" x14ac:dyDescent="0.35"/>
    <row r="450" s="39" customFormat="1" ht="14.25" customHeight="1" x14ac:dyDescent="0.35"/>
    <row r="451" s="39" customFormat="1" ht="14.25" customHeight="1" x14ac:dyDescent="0.35"/>
    <row r="452" s="39" customFormat="1" ht="14.25" customHeight="1" x14ac:dyDescent="0.35"/>
    <row r="453" s="39" customFormat="1" ht="14.25" customHeight="1" x14ac:dyDescent="0.35"/>
    <row r="454" s="39" customFormat="1" ht="14.25" customHeight="1" x14ac:dyDescent="0.35"/>
    <row r="455" s="39" customFormat="1" ht="14.25" customHeight="1" x14ac:dyDescent="0.35"/>
    <row r="456" s="39" customFormat="1" ht="14.25" customHeight="1" x14ac:dyDescent="0.35"/>
    <row r="457" s="39" customFormat="1" ht="14.25" customHeight="1" x14ac:dyDescent="0.35"/>
    <row r="458" s="39" customFormat="1" ht="14.25" customHeight="1" x14ac:dyDescent="0.35"/>
    <row r="459" s="39" customFormat="1" ht="14.25" customHeight="1" x14ac:dyDescent="0.35"/>
    <row r="460" s="39" customFormat="1" ht="14.25" customHeight="1" x14ac:dyDescent="0.35"/>
    <row r="461" s="39" customFormat="1" ht="14.25" customHeight="1" x14ac:dyDescent="0.35"/>
    <row r="462" s="39" customFormat="1" ht="14.25" customHeight="1" x14ac:dyDescent="0.35"/>
    <row r="463" s="39" customFormat="1" ht="14.25" customHeight="1" x14ac:dyDescent="0.35"/>
    <row r="464" s="39" customFormat="1" ht="14.25" customHeight="1" x14ac:dyDescent="0.35"/>
    <row r="465" s="39" customFormat="1" ht="14.25" customHeight="1" x14ac:dyDescent="0.35"/>
    <row r="466" s="39" customFormat="1" ht="14.25" customHeight="1" x14ac:dyDescent="0.35"/>
    <row r="467" s="39" customFormat="1" ht="14.25" customHeight="1" x14ac:dyDescent="0.35"/>
    <row r="468" s="39" customFormat="1" ht="14.25" customHeight="1" x14ac:dyDescent="0.35"/>
    <row r="469" s="39" customFormat="1" ht="14.25" customHeight="1" x14ac:dyDescent="0.35"/>
    <row r="470" s="39" customFormat="1" ht="14.25" customHeight="1" x14ac:dyDescent="0.35"/>
    <row r="471" s="39" customFormat="1" ht="14.25" customHeight="1" x14ac:dyDescent="0.35"/>
    <row r="472" s="39" customFormat="1" ht="14.25" customHeight="1" x14ac:dyDescent="0.35"/>
    <row r="473" s="39" customFormat="1" ht="14.25" customHeight="1" x14ac:dyDescent="0.35"/>
    <row r="474" s="39" customFormat="1" ht="14.25" customHeight="1" x14ac:dyDescent="0.35"/>
    <row r="475" s="39" customFormat="1" ht="14.25" customHeight="1" x14ac:dyDescent="0.35"/>
    <row r="476" s="39" customFormat="1" ht="14.25" customHeight="1" x14ac:dyDescent="0.35"/>
    <row r="477" s="39" customFormat="1" ht="14.25" customHeight="1" x14ac:dyDescent="0.35"/>
    <row r="478" s="39" customFormat="1" ht="14.25" customHeight="1" x14ac:dyDescent="0.35"/>
    <row r="479" s="39" customFormat="1" ht="14.25" customHeight="1" x14ac:dyDescent="0.35"/>
    <row r="480" s="39" customFormat="1" ht="14.25" customHeight="1" x14ac:dyDescent="0.35"/>
    <row r="481" s="39" customFormat="1" ht="14.25" customHeight="1" x14ac:dyDescent="0.35"/>
    <row r="482" s="39" customFormat="1" ht="14.25" customHeight="1" x14ac:dyDescent="0.35"/>
    <row r="483" s="39" customFormat="1" ht="14.25" customHeight="1" x14ac:dyDescent="0.35"/>
    <row r="484" s="39" customFormat="1" ht="14.25" customHeight="1" x14ac:dyDescent="0.35"/>
    <row r="485" s="39" customFormat="1" ht="14.25" customHeight="1" x14ac:dyDescent="0.35"/>
    <row r="486" s="39" customFormat="1" ht="14.25" customHeight="1" x14ac:dyDescent="0.35"/>
    <row r="487" s="39" customFormat="1" ht="14.25" customHeight="1" x14ac:dyDescent="0.35"/>
    <row r="488" s="39" customFormat="1" ht="14.25" customHeight="1" x14ac:dyDescent="0.35"/>
    <row r="489" s="39" customFormat="1" ht="14.25" customHeight="1" x14ac:dyDescent="0.35"/>
    <row r="490" s="39" customFormat="1" ht="14.25" customHeight="1" x14ac:dyDescent="0.35"/>
    <row r="491" s="39" customFormat="1" ht="14.25" customHeight="1" x14ac:dyDescent="0.35"/>
    <row r="492" s="39" customFormat="1" ht="14.25" customHeight="1" x14ac:dyDescent="0.35"/>
    <row r="493" s="39" customFormat="1" ht="14.25" customHeight="1" x14ac:dyDescent="0.35"/>
    <row r="494" s="39" customFormat="1" ht="14.25" customHeight="1" x14ac:dyDescent="0.35"/>
    <row r="495" s="39" customFormat="1" ht="14.25" customHeight="1" x14ac:dyDescent="0.35"/>
    <row r="496" s="39" customFormat="1" ht="14.25" customHeight="1" x14ac:dyDescent="0.35"/>
    <row r="497" s="39" customFormat="1" ht="14.25" customHeight="1" x14ac:dyDescent="0.35"/>
    <row r="498" s="39" customFormat="1" ht="14.25" customHeight="1" x14ac:dyDescent="0.35"/>
    <row r="499" s="39" customFormat="1" ht="14.25" customHeight="1" x14ac:dyDescent="0.35"/>
    <row r="500" s="39" customFormat="1" ht="14.25" customHeight="1" x14ac:dyDescent="0.35"/>
    <row r="501" s="39" customFormat="1" ht="14.25" customHeight="1" x14ac:dyDescent="0.35"/>
    <row r="502" s="39" customFormat="1" ht="14.25" customHeight="1" x14ac:dyDescent="0.35"/>
    <row r="503" s="39" customFormat="1" ht="14.25" customHeight="1" x14ac:dyDescent="0.35"/>
    <row r="504" s="39" customFormat="1" ht="14.25" customHeight="1" x14ac:dyDescent="0.35"/>
    <row r="505" s="39" customFormat="1" ht="14.25" customHeight="1" x14ac:dyDescent="0.35"/>
    <row r="506" s="39" customFormat="1" ht="14.25" customHeight="1" x14ac:dyDescent="0.35"/>
    <row r="507" s="39" customFormat="1" ht="14.25" customHeight="1" x14ac:dyDescent="0.35"/>
    <row r="508" s="39" customFormat="1" ht="14.25" customHeight="1" x14ac:dyDescent="0.35"/>
    <row r="509" s="39" customFormat="1" ht="14.25" customHeight="1" x14ac:dyDescent="0.35"/>
    <row r="510" s="39" customFormat="1" ht="14.25" customHeight="1" x14ac:dyDescent="0.35"/>
    <row r="511" s="39" customFormat="1" ht="14.25" customHeight="1" x14ac:dyDescent="0.35"/>
    <row r="512" s="39" customFormat="1" ht="14.25" customHeight="1" x14ac:dyDescent="0.35"/>
    <row r="513" s="39" customFormat="1" ht="14.25" customHeight="1" x14ac:dyDescent="0.35"/>
    <row r="514" s="39" customFormat="1" ht="14.25" customHeight="1" x14ac:dyDescent="0.35"/>
    <row r="515" s="39" customFormat="1" ht="14.25" customHeight="1" x14ac:dyDescent="0.35"/>
    <row r="516" s="39" customFormat="1" ht="14.25" customHeight="1" x14ac:dyDescent="0.35"/>
    <row r="517" s="39" customFormat="1" ht="14.25" customHeight="1" x14ac:dyDescent="0.35"/>
    <row r="518" s="39" customFormat="1" ht="14.25" customHeight="1" x14ac:dyDescent="0.35"/>
    <row r="519" s="39" customFormat="1" ht="14.25" customHeight="1" x14ac:dyDescent="0.35"/>
    <row r="520" s="39" customFormat="1" ht="14.25" customHeight="1" x14ac:dyDescent="0.35"/>
    <row r="521" s="39" customFormat="1" ht="14.25" customHeight="1" x14ac:dyDescent="0.35"/>
    <row r="522" s="39" customFormat="1" ht="14.25" customHeight="1" x14ac:dyDescent="0.35"/>
    <row r="523" s="39" customFormat="1" ht="14.25" customHeight="1" x14ac:dyDescent="0.35"/>
    <row r="524" s="39" customFormat="1" ht="14.25" customHeight="1" x14ac:dyDescent="0.35"/>
    <row r="525" s="39" customFormat="1" ht="14.25" customHeight="1" x14ac:dyDescent="0.35"/>
    <row r="526" s="39" customFormat="1" ht="14.25" customHeight="1" x14ac:dyDescent="0.35"/>
    <row r="527" s="39" customFormat="1" ht="14.25" customHeight="1" x14ac:dyDescent="0.35"/>
    <row r="528" s="39" customFormat="1" ht="14.25" customHeight="1" x14ac:dyDescent="0.35"/>
    <row r="529" s="39" customFormat="1" ht="14.25" customHeight="1" x14ac:dyDescent="0.35"/>
    <row r="530" s="39" customFormat="1" ht="14.25" customHeight="1" x14ac:dyDescent="0.35"/>
    <row r="531" s="39" customFormat="1" ht="14.25" customHeight="1" x14ac:dyDescent="0.35"/>
    <row r="532" s="39" customFormat="1" ht="14.25" customHeight="1" x14ac:dyDescent="0.35"/>
    <row r="533" s="39" customFormat="1" ht="14.25" customHeight="1" x14ac:dyDescent="0.35"/>
    <row r="534" s="39" customFormat="1" ht="14.25" customHeight="1" x14ac:dyDescent="0.35"/>
    <row r="535" s="39" customFormat="1" ht="14.25" customHeight="1" x14ac:dyDescent="0.35"/>
    <row r="536" s="39" customFormat="1" ht="14.25" customHeight="1" x14ac:dyDescent="0.35"/>
    <row r="537" s="39" customFormat="1" ht="14.25" customHeight="1" x14ac:dyDescent="0.35"/>
    <row r="538" s="39" customFormat="1" ht="14.25" customHeight="1" x14ac:dyDescent="0.35"/>
    <row r="539" s="39" customFormat="1" ht="14.25" customHeight="1" x14ac:dyDescent="0.35"/>
    <row r="540" s="39" customFormat="1" ht="14.25" customHeight="1" x14ac:dyDescent="0.35"/>
    <row r="541" s="39" customFormat="1" ht="14.25" customHeight="1" x14ac:dyDescent="0.35"/>
    <row r="542" s="39" customFormat="1" ht="14.25" customHeight="1" x14ac:dyDescent="0.35"/>
    <row r="543" s="39" customFormat="1" ht="14.25" customHeight="1" x14ac:dyDescent="0.35"/>
    <row r="544" s="39" customFormat="1" ht="14.25" customHeight="1" x14ac:dyDescent="0.35"/>
    <row r="545" s="39" customFormat="1" ht="14.25" customHeight="1" x14ac:dyDescent="0.35"/>
    <row r="546" s="39" customFormat="1" ht="14.25" customHeight="1" x14ac:dyDescent="0.35"/>
    <row r="547" s="39" customFormat="1" ht="14.25" customHeight="1" x14ac:dyDescent="0.35"/>
    <row r="548" s="39" customFormat="1" ht="14.25" customHeight="1" x14ac:dyDescent="0.35"/>
    <row r="549" s="39" customFormat="1" ht="14.25" customHeight="1" x14ac:dyDescent="0.35"/>
    <row r="550" s="39" customFormat="1" ht="14.25" customHeight="1" x14ac:dyDescent="0.35"/>
    <row r="551" s="39" customFormat="1" ht="14.25" customHeight="1" x14ac:dyDescent="0.35"/>
    <row r="552" s="39" customFormat="1" ht="14.25" customHeight="1" x14ac:dyDescent="0.35"/>
    <row r="553" s="39" customFormat="1" ht="14.25" customHeight="1" x14ac:dyDescent="0.35"/>
    <row r="554" s="39" customFormat="1" ht="14.25" customHeight="1" x14ac:dyDescent="0.35"/>
    <row r="555" s="39" customFormat="1" ht="14.25" customHeight="1" x14ac:dyDescent="0.35"/>
    <row r="556" s="39" customFormat="1" ht="14.25" customHeight="1" x14ac:dyDescent="0.35"/>
    <row r="557" s="39" customFormat="1" ht="14.25" customHeight="1" x14ac:dyDescent="0.35"/>
    <row r="558" s="39" customFormat="1" ht="14.25" customHeight="1" x14ac:dyDescent="0.35"/>
    <row r="559" s="39" customFormat="1" ht="14.25" customHeight="1" x14ac:dyDescent="0.35"/>
    <row r="560" s="39" customFormat="1" ht="14.25" customHeight="1" x14ac:dyDescent="0.35"/>
    <row r="561" s="39" customFormat="1" ht="14.25" customHeight="1" x14ac:dyDescent="0.35"/>
    <row r="562" s="39" customFormat="1" ht="14.25" customHeight="1" x14ac:dyDescent="0.35"/>
    <row r="563" s="39" customFormat="1" ht="14.25" customHeight="1" x14ac:dyDescent="0.35"/>
    <row r="564" s="39" customFormat="1" ht="14.25" customHeight="1" x14ac:dyDescent="0.35"/>
    <row r="565" s="39" customFormat="1" ht="14.25" customHeight="1" x14ac:dyDescent="0.35"/>
    <row r="566" s="39" customFormat="1" ht="14.25" customHeight="1" x14ac:dyDescent="0.35"/>
    <row r="567" s="39" customFormat="1" ht="14.25" customHeight="1" x14ac:dyDescent="0.35"/>
    <row r="568" s="39" customFormat="1" ht="14.25" customHeight="1" x14ac:dyDescent="0.35"/>
    <row r="569" s="39" customFormat="1" ht="14.25" customHeight="1" x14ac:dyDescent="0.35"/>
    <row r="570" s="39" customFormat="1" ht="14.25" customHeight="1" x14ac:dyDescent="0.35"/>
    <row r="571" s="39" customFormat="1" ht="14.25" customHeight="1" x14ac:dyDescent="0.35"/>
    <row r="572" s="39" customFormat="1" ht="14.25" customHeight="1" x14ac:dyDescent="0.35"/>
    <row r="573" s="39" customFormat="1" ht="14.25" customHeight="1" x14ac:dyDescent="0.35"/>
    <row r="574" s="39" customFormat="1" ht="14.25" customHeight="1" x14ac:dyDescent="0.35"/>
    <row r="575" s="39" customFormat="1" ht="14.25" customHeight="1" x14ac:dyDescent="0.35"/>
    <row r="576" s="39" customFormat="1" ht="14.25" customHeight="1" x14ac:dyDescent="0.35"/>
    <row r="577" s="39" customFormat="1" ht="14.25" customHeight="1" x14ac:dyDescent="0.35"/>
    <row r="578" s="39" customFormat="1" ht="14.25" customHeight="1" x14ac:dyDescent="0.35"/>
    <row r="579" s="39" customFormat="1" ht="14.25" customHeight="1" x14ac:dyDescent="0.35"/>
    <row r="580" s="39" customFormat="1" ht="14.25" customHeight="1" x14ac:dyDescent="0.35"/>
    <row r="581" s="39" customFormat="1" ht="14.25" customHeight="1" x14ac:dyDescent="0.35"/>
    <row r="582" s="39" customFormat="1" ht="14.25" customHeight="1" x14ac:dyDescent="0.35"/>
    <row r="583" s="39" customFormat="1" ht="14.25" customHeight="1" x14ac:dyDescent="0.35"/>
    <row r="584" s="39" customFormat="1" ht="14.25" customHeight="1" x14ac:dyDescent="0.35"/>
    <row r="585" s="39" customFormat="1" ht="14.25" customHeight="1" x14ac:dyDescent="0.35"/>
    <row r="586" s="39" customFormat="1" ht="14.25" customHeight="1" x14ac:dyDescent="0.35"/>
    <row r="587" s="39" customFormat="1" ht="14.25" customHeight="1" x14ac:dyDescent="0.35"/>
    <row r="588" s="39" customFormat="1" ht="14.25" customHeight="1" x14ac:dyDescent="0.35"/>
    <row r="589" s="39" customFormat="1" ht="14.25" customHeight="1" x14ac:dyDescent="0.35"/>
    <row r="590" s="39" customFormat="1" ht="14.25" customHeight="1" x14ac:dyDescent="0.35"/>
    <row r="591" s="39" customFormat="1" ht="14.25" customHeight="1" x14ac:dyDescent="0.35"/>
    <row r="592" s="39" customFormat="1" ht="14.25" customHeight="1" x14ac:dyDescent="0.35"/>
    <row r="593" s="39" customFormat="1" ht="14.25" customHeight="1" x14ac:dyDescent="0.35"/>
    <row r="594" s="39" customFormat="1" ht="14.25" customHeight="1" x14ac:dyDescent="0.35"/>
    <row r="595" s="39" customFormat="1" ht="14.25" customHeight="1" x14ac:dyDescent="0.35"/>
    <row r="596" s="39" customFormat="1" ht="14.25" customHeight="1" x14ac:dyDescent="0.35"/>
    <row r="597" s="39" customFormat="1" ht="14.25" customHeight="1" x14ac:dyDescent="0.35"/>
    <row r="598" s="39" customFormat="1" ht="14.25" customHeight="1" x14ac:dyDescent="0.35"/>
    <row r="599" s="39" customFormat="1" ht="14.25" customHeight="1" x14ac:dyDescent="0.35"/>
    <row r="600" s="39" customFormat="1" ht="14.25" customHeight="1" x14ac:dyDescent="0.35"/>
    <row r="601" s="39" customFormat="1" ht="14.25" customHeight="1" x14ac:dyDescent="0.35"/>
    <row r="602" s="39" customFormat="1" ht="14.25" customHeight="1" x14ac:dyDescent="0.35"/>
    <row r="603" s="39" customFormat="1" ht="14.25" customHeight="1" x14ac:dyDescent="0.35"/>
    <row r="604" s="39" customFormat="1" ht="14.25" customHeight="1" x14ac:dyDescent="0.35"/>
    <row r="605" s="39" customFormat="1" ht="14.25" customHeight="1" x14ac:dyDescent="0.35"/>
    <row r="606" s="39" customFormat="1" ht="14.25" customHeight="1" x14ac:dyDescent="0.35"/>
    <row r="607" s="39" customFormat="1" ht="14.25" customHeight="1" x14ac:dyDescent="0.35"/>
    <row r="608" s="39" customFormat="1" ht="14.25" customHeight="1" x14ac:dyDescent="0.35"/>
    <row r="609" s="39" customFormat="1" ht="14.25" customHeight="1" x14ac:dyDescent="0.35"/>
    <row r="610" s="39" customFormat="1" ht="14.25" customHeight="1" x14ac:dyDescent="0.35"/>
    <row r="611" s="39" customFormat="1" ht="14.25" customHeight="1" x14ac:dyDescent="0.35"/>
    <row r="612" s="39" customFormat="1" ht="14.25" customHeight="1" x14ac:dyDescent="0.35"/>
    <row r="613" s="39" customFormat="1" ht="14.25" customHeight="1" x14ac:dyDescent="0.35"/>
    <row r="614" s="39" customFormat="1" ht="14.25" customHeight="1" x14ac:dyDescent="0.35"/>
    <row r="615" s="39" customFormat="1" ht="14.25" customHeight="1" x14ac:dyDescent="0.35"/>
    <row r="616" s="39" customFormat="1" ht="14.25" customHeight="1" x14ac:dyDescent="0.35"/>
    <row r="617" s="39" customFormat="1" ht="14.25" customHeight="1" x14ac:dyDescent="0.35"/>
    <row r="618" s="39" customFormat="1" ht="14.25" customHeight="1" x14ac:dyDescent="0.35"/>
    <row r="619" s="39" customFormat="1" ht="14.25" customHeight="1" x14ac:dyDescent="0.35"/>
    <row r="620" s="39" customFormat="1" ht="14.25" customHeight="1" x14ac:dyDescent="0.35"/>
    <row r="621" s="39" customFormat="1" ht="14.25" customHeight="1" x14ac:dyDescent="0.35"/>
    <row r="622" s="39" customFormat="1" ht="14.25" customHeight="1" x14ac:dyDescent="0.35"/>
    <row r="623" s="39" customFormat="1" ht="14.25" customHeight="1" x14ac:dyDescent="0.35"/>
    <row r="624" s="39" customFormat="1" ht="14.25" customHeight="1" x14ac:dyDescent="0.35"/>
    <row r="625" s="39" customFormat="1" ht="14.25" customHeight="1" x14ac:dyDescent="0.35"/>
    <row r="626" s="39" customFormat="1" ht="14.25" customHeight="1" x14ac:dyDescent="0.35"/>
    <row r="627" s="39" customFormat="1" ht="14.25" customHeight="1" x14ac:dyDescent="0.35"/>
    <row r="628" s="39" customFormat="1" ht="14.25" customHeight="1" x14ac:dyDescent="0.35"/>
    <row r="629" s="39" customFormat="1" ht="14.25" customHeight="1" x14ac:dyDescent="0.35"/>
    <row r="630" s="39" customFormat="1" ht="14.25" customHeight="1" x14ac:dyDescent="0.35"/>
    <row r="631" s="39" customFormat="1" ht="14.25" customHeight="1" x14ac:dyDescent="0.35"/>
    <row r="632" s="39" customFormat="1" ht="14.25" customHeight="1" x14ac:dyDescent="0.35"/>
    <row r="633" s="39" customFormat="1" ht="14.25" customHeight="1" x14ac:dyDescent="0.35"/>
    <row r="634" s="39" customFormat="1" ht="14.25" customHeight="1" x14ac:dyDescent="0.35"/>
    <row r="635" s="39" customFormat="1" ht="14.25" customHeight="1" x14ac:dyDescent="0.35"/>
    <row r="636" s="39" customFormat="1" ht="14.25" customHeight="1" x14ac:dyDescent="0.35"/>
    <row r="637" s="39" customFormat="1" ht="14.25" customHeight="1" x14ac:dyDescent="0.35"/>
    <row r="638" s="39" customFormat="1" ht="14.25" customHeight="1" x14ac:dyDescent="0.35"/>
    <row r="639" s="39" customFormat="1" ht="14.25" customHeight="1" x14ac:dyDescent="0.35"/>
    <row r="640" s="39" customFormat="1" ht="14.25" customHeight="1" x14ac:dyDescent="0.35"/>
    <row r="641" s="39" customFormat="1" ht="14.25" customHeight="1" x14ac:dyDescent="0.35"/>
    <row r="642" s="39" customFormat="1" ht="14.25" customHeight="1" x14ac:dyDescent="0.35"/>
    <row r="643" s="39" customFormat="1" ht="14.25" customHeight="1" x14ac:dyDescent="0.35"/>
    <row r="644" s="39" customFormat="1" ht="14.25" customHeight="1" x14ac:dyDescent="0.35"/>
    <row r="645" s="39" customFormat="1" ht="14.25" customHeight="1" x14ac:dyDescent="0.35"/>
    <row r="646" s="39" customFormat="1" ht="14.25" customHeight="1" x14ac:dyDescent="0.35"/>
    <row r="647" s="39" customFormat="1" ht="14.25" customHeight="1" x14ac:dyDescent="0.35"/>
    <row r="648" s="39" customFormat="1" ht="14.25" customHeight="1" x14ac:dyDescent="0.35"/>
    <row r="649" s="39" customFormat="1" ht="14.25" customHeight="1" x14ac:dyDescent="0.35"/>
    <row r="650" s="39" customFormat="1" ht="14.25" customHeight="1" x14ac:dyDescent="0.35"/>
    <row r="651" s="39" customFormat="1" ht="14.25" customHeight="1" x14ac:dyDescent="0.35"/>
    <row r="652" s="39" customFormat="1" ht="14.25" customHeight="1" x14ac:dyDescent="0.35"/>
    <row r="653" s="39" customFormat="1" ht="14.25" customHeight="1" x14ac:dyDescent="0.35"/>
    <row r="654" s="39" customFormat="1" ht="14.25" customHeight="1" x14ac:dyDescent="0.35"/>
    <row r="655" s="39" customFormat="1" ht="14.25" customHeight="1" x14ac:dyDescent="0.35"/>
    <row r="656" s="39" customFormat="1" ht="14.25" customHeight="1" x14ac:dyDescent="0.35"/>
    <row r="657" s="39" customFormat="1" ht="14.25" customHeight="1" x14ac:dyDescent="0.35"/>
    <row r="658" s="39" customFormat="1" ht="14.25" customHeight="1" x14ac:dyDescent="0.35"/>
    <row r="659" s="39" customFormat="1" ht="14.25" customHeight="1" x14ac:dyDescent="0.35"/>
    <row r="660" s="39" customFormat="1" ht="14.25" customHeight="1" x14ac:dyDescent="0.35"/>
    <row r="661" s="39" customFormat="1" ht="14.25" customHeight="1" x14ac:dyDescent="0.35"/>
    <row r="662" s="39" customFormat="1" ht="14.25" customHeight="1" x14ac:dyDescent="0.35"/>
    <row r="663" s="39" customFormat="1" ht="14.25" customHeight="1" x14ac:dyDescent="0.35"/>
    <row r="664" s="39" customFormat="1" ht="14.25" customHeight="1" x14ac:dyDescent="0.35"/>
    <row r="665" s="39" customFormat="1" ht="14.25" customHeight="1" x14ac:dyDescent="0.35"/>
    <row r="666" s="39" customFormat="1" ht="14.25" customHeight="1" x14ac:dyDescent="0.35"/>
    <row r="667" s="39" customFormat="1" ht="14.25" customHeight="1" x14ac:dyDescent="0.35"/>
    <row r="668" s="39" customFormat="1" ht="14.25" customHeight="1" x14ac:dyDescent="0.35"/>
    <row r="669" s="39" customFormat="1" ht="14.25" customHeight="1" x14ac:dyDescent="0.35"/>
    <row r="670" s="39" customFormat="1" ht="14.25" customHeight="1" x14ac:dyDescent="0.35"/>
    <row r="671" s="39" customFormat="1" ht="14.25" customHeight="1" x14ac:dyDescent="0.35"/>
    <row r="672" s="39" customFormat="1" ht="14.25" customHeight="1" x14ac:dyDescent="0.35"/>
    <row r="673" s="39" customFormat="1" ht="14.25" customHeight="1" x14ac:dyDescent="0.35"/>
    <row r="674" s="39" customFormat="1" ht="14.25" customHeight="1" x14ac:dyDescent="0.35"/>
    <row r="675" s="39" customFormat="1" ht="14.25" customHeight="1" x14ac:dyDescent="0.35"/>
    <row r="676" s="39" customFormat="1" ht="14.25" customHeight="1" x14ac:dyDescent="0.35"/>
    <row r="677" s="39" customFormat="1" ht="14.25" customHeight="1" x14ac:dyDescent="0.35"/>
    <row r="678" s="39" customFormat="1" ht="14.25" customHeight="1" x14ac:dyDescent="0.35"/>
    <row r="679" s="39" customFormat="1" ht="14.25" customHeight="1" x14ac:dyDescent="0.35"/>
    <row r="680" s="39" customFormat="1" ht="14.25" customHeight="1" x14ac:dyDescent="0.35"/>
    <row r="681" s="39" customFormat="1" ht="14.25" customHeight="1" x14ac:dyDescent="0.35"/>
    <row r="682" s="39" customFormat="1" ht="14.25" customHeight="1" x14ac:dyDescent="0.35"/>
    <row r="683" s="39" customFormat="1" ht="14.25" customHeight="1" x14ac:dyDescent="0.35"/>
    <row r="684" s="39" customFormat="1" ht="14.25" customHeight="1" x14ac:dyDescent="0.35"/>
    <row r="685" s="39" customFormat="1" ht="14.25" customHeight="1" x14ac:dyDescent="0.35"/>
    <row r="686" s="39" customFormat="1" ht="14.25" customHeight="1" x14ac:dyDescent="0.35"/>
    <row r="687" s="39" customFormat="1" ht="14.25" customHeight="1" x14ac:dyDescent="0.35"/>
    <row r="688" s="39" customFormat="1" ht="14.25" customHeight="1" x14ac:dyDescent="0.35"/>
    <row r="689" s="39" customFormat="1" ht="14.25" customHeight="1" x14ac:dyDescent="0.35"/>
    <row r="690" s="39" customFormat="1" ht="14.25" customHeight="1" x14ac:dyDescent="0.35"/>
    <row r="691" s="39" customFormat="1" ht="14.25" customHeight="1" x14ac:dyDescent="0.35"/>
    <row r="692" s="39" customFormat="1" ht="14.25" customHeight="1" x14ac:dyDescent="0.35"/>
    <row r="693" s="39" customFormat="1" ht="14.25" customHeight="1" x14ac:dyDescent="0.35"/>
    <row r="694" s="39" customFormat="1" ht="14.25" customHeight="1" x14ac:dyDescent="0.35"/>
    <row r="695" s="39" customFormat="1" ht="14.25" customHeight="1" x14ac:dyDescent="0.35"/>
    <row r="696" s="39" customFormat="1" ht="14.25" customHeight="1" x14ac:dyDescent="0.35"/>
    <row r="697" s="39" customFormat="1" ht="14.25" customHeight="1" x14ac:dyDescent="0.35"/>
    <row r="698" s="39" customFormat="1" ht="14.25" customHeight="1" x14ac:dyDescent="0.35"/>
    <row r="699" s="39" customFormat="1" ht="14.25" customHeight="1" x14ac:dyDescent="0.35"/>
    <row r="700" s="39" customFormat="1" ht="14.25" customHeight="1" x14ac:dyDescent="0.35"/>
    <row r="701" s="39" customFormat="1" ht="14.25" customHeight="1" x14ac:dyDescent="0.35"/>
    <row r="702" s="39" customFormat="1" ht="14.25" customHeight="1" x14ac:dyDescent="0.35"/>
    <row r="703" s="39" customFormat="1" ht="14.25" customHeight="1" x14ac:dyDescent="0.35"/>
    <row r="704" s="39" customFormat="1" ht="14.25" customHeight="1" x14ac:dyDescent="0.35"/>
    <row r="705" s="39" customFormat="1" ht="14.25" customHeight="1" x14ac:dyDescent="0.35"/>
    <row r="706" s="39" customFormat="1" ht="14.25" customHeight="1" x14ac:dyDescent="0.35"/>
    <row r="707" s="39" customFormat="1" ht="14.25" customHeight="1" x14ac:dyDescent="0.35"/>
    <row r="708" s="39" customFormat="1" ht="14.25" customHeight="1" x14ac:dyDescent="0.35"/>
    <row r="709" s="39" customFormat="1" ht="14.25" customHeight="1" x14ac:dyDescent="0.35"/>
    <row r="710" s="39" customFormat="1" ht="14.25" customHeight="1" x14ac:dyDescent="0.35"/>
    <row r="711" s="39" customFormat="1" ht="14.25" customHeight="1" x14ac:dyDescent="0.35"/>
    <row r="712" s="39" customFormat="1" ht="14.25" customHeight="1" x14ac:dyDescent="0.35"/>
    <row r="713" s="39" customFormat="1" ht="14.25" customHeight="1" x14ac:dyDescent="0.35"/>
    <row r="714" s="39" customFormat="1" ht="14.25" customHeight="1" x14ac:dyDescent="0.35"/>
    <row r="715" s="39" customFormat="1" ht="14.25" customHeight="1" x14ac:dyDescent="0.35"/>
    <row r="716" s="39" customFormat="1" ht="14.25" customHeight="1" x14ac:dyDescent="0.35"/>
    <row r="717" s="39" customFormat="1" ht="14.25" customHeight="1" x14ac:dyDescent="0.35"/>
    <row r="718" s="39" customFormat="1" ht="14.25" customHeight="1" x14ac:dyDescent="0.35"/>
    <row r="719" s="39" customFormat="1" ht="14.25" customHeight="1" x14ac:dyDescent="0.35"/>
    <row r="720" s="39" customFormat="1" ht="14.25" customHeight="1" x14ac:dyDescent="0.35"/>
    <row r="721" s="39" customFormat="1" ht="14.25" customHeight="1" x14ac:dyDescent="0.35"/>
    <row r="722" s="39" customFormat="1" ht="14.25" customHeight="1" x14ac:dyDescent="0.35"/>
    <row r="723" s="39" customFormat="1" ht="14.25" customHeight="1" x14ac:dyDescent="0.35"/>
    <row r="724" s="39" customFormat="1" ht="14.25" customHeight="1" x14ac:dyDescent="0.35"/>
    <row r="725" s="39" customFormat="1" ht="14.25" customHeight="1" x14ac:dyDescent="0.35"/>
    <row r="726" s="39" customFormat="1" ht="14.25" customHeight="1" x14ac:dyDescent="0.35"/>
    <row r="727" s="39" customFormat="1" ht="14.25" customHeight="1" x14ac:dyDescent="0.35"/>
    <row r="728" s="39" customFormat="1" ht="14.25" customHeight="1" x14ac:dyDescent="0.35"/>
    <row r="729" s="39" customFormat="1" ht="14.25" customHeight="1" x14ac:dyDescent="0.35"/>
    <row r="730" s="39" customFormat="1" ht="14.25" customHeight="1" x14ac:dyDescent="0.35"/>
    <row r="731" s="39" customFormat="1" ht="14.25" customHeight="1" x14ac:dyDescent="0.35"/>
    <row r="732" s="39" customFormat="1" ht="14.25" customHeight="1" x14ac:dyDescent="0.35"/>
    <row r="733" s="39" customFormat="1" ht="14.25" customHeight="1" x14ac:dyDescent="0.35"/>
    <row r="734" s="39" customFormat="1" ht="14.25" customHeight="1" x14ac:dyDescent="0.35"/>
    <row r="735" s="39" customFormat="1" ht="14.25" customHeight="1" x14ac:dyDescent="0.35"/>
    <row r="736" s="39" customFormat="1" ht="14.25" customHeight="1" x14ac:dyDescent="0.35"/>
    <row r="737" s="39" customFormat="1" ht="14.25" customHeight="1" x14ac:dyDescent="0.35"/>
    <row r="738" s="39" customFormat="1" ht="14.25" customHeight="1" x14ac:dyDescent="0.35"/>
    <row r="739" s="39" customFormat="1" ht="14.25" customHeight="1" x14ac:dyDescent="0.35"/>
    <row r="740" s="39" customFormat="1" ht="14.25" customHeight="1" x14ac:dyDescent="0.35"/>
    <row r="741" s="39" customFormat="1" ht="14.25" customHeight="1" x14ac:dyDescent="0.35"/>
    <row r="742" s="39" customFormat="1" ht="14.25" customHeight="1" x14ac:dyDescent="0.35"/>
    <row r="743" s="39" customFormat="1" ht="14.25" customHeight="1" x14ac:dyDescent="0.35"/>
    <row r="744" s="39" customFormat="1" ht="14.25" customHeight="1" x14ac:dyDescent="0.35"/>
    <row r="745" s="39" customFormat="1" ht="14.25" customHeight="1" x14ac:dyDescent="0.35"/>
    <row r="746" s="39" customFormat="1" ht="14.25" customHeight="1" x14ac:dyDescent="0.35"/>
    <row r="747" s="39" customFormat="1" ht="14.25" customHeight="1" x14ac:dyDescent="0.35"/>
    <row r="748" s="39" customFormat="1" ht="14.25" customHeight="1" x14ac:dyDescent="0.35"/>
    <row r="749" s="39" customFormat="1" ht="14.25" customHeight="1" x14ac:dyDescent="0.35"/>
    <row r="750" s="39" customFormat="1" ht="14.25" customHeight="1" x14ac:dyDescent="0.35"/>
    <row r="751" s="39" customFormat="1" ht="14.25" customHeight="1" x14ac:dyDescent="0.35"/>
    <row r="752" s="39" customFormat="1" ht="14.25" customHeight="1" x14ac:dyDescent="0.35"/>
    <row r="753" s="39" customFormat="1" ht="14.25" customHeight="1" x14ac:dyDescent="0.35"/>
    <row r="754" s="39" customFormat="1" ht="14.25" customHeight="1" x14ac:dyDescent="0.35"/>
    <row r="755" s="39" customFormat="1" ht="14.25" customHeight="1" x14ac:dyDescent="0.35"/>
    <row r="756" s="39" customFormat="1" ht="14.25" customHeight="1" x14ac:dyDescent="0.35"/>
    <row r="757" s="39" customFormat="1" ht="14.25" customHeight="1" x14ac:dyDescent="0.35"/>
    <row r="758" s="39" customFormat="1" ht="14.25" customHeight="1" x14ac:dyDescent="0.35"/>
    <row r="759" s="39" customFormat="1" ht="14.25" customHeight="1" x14ac:dyDescent="0.35"/>
    <row r="760" s="39" customFormat="1" ht="14.25" customHeight="1" x14ac:dyDescent="0.35"/>
    <row r="761" s="39" customFormat="1" ht="14.25" customHeight="1" x14ac:dyDescent="0.35"/>
    <row r="762" s="39" customFormat="1" ht="14.25" customHeight="1" x14ac:dyDescent="0.35"/>
    <row r="763" s="39" customFormat="1" ht="14.25" customHeight="1" x14ac:dyDescent="0.35"/>
    <row r="764" s="39" customFormat="1" ht="14.25" customHeight="1" x14ac:dyDescent="0.35"/>
    <row r="765" s="39" customFormat="1" ht="14.25" customHeight="1" x14ac:dyDescent="0.35"/>
    <row r="766" s="39" customFormat="1" ht="14.25" customHeight="1" x14ac:dyDescent="0.35"/>
    <row r="767" s="39" customFormat="1" ht="14.25" customHeight="1" x14ac:dyDescent="0.35"/>
    <row r="768" s="39" customFormat="1" ht="14.25" customHeight="1" x14ac:dyDescent="0.35"/>
    <row r="769" s="39" customFormat="1" ht="14.25" customHeight="1" x14ac:dyDescent="0.35"/>
    <row r="770" s="39" customFormat="1" ht="14.25" customHeight="1" x14ac:dyDescent="0.35"/>
    <row r="771" s="39" customFormat="1" ht="14.25" customHeight="1" x14ac:dyDescent="0.35"/>
    <row r="772" s="39" customFormat="1" ht="14.25" customHeight="1" x14ac:dyDescent="0.35"/>
    <row r="773" s="39" customFormat="1" ht="14.25" customHeight="1" x14ac:dyDescent="0.35"/>
    <row r="774" s="39" customFormat="1" ht="14.25" customHeight="1" x14ac:dyDescent="0.35"/>
    <row r="775" s="39" customFormat="1" ht="14.25" customHeight="1" x14ac:dyDescent="0.35"/>
    <row r="776" s="39" customFormat="1" ht="14.25" customHeight="1" x14ac:dyDescent="0.35"/>
    <row r="777" s="39" customFormat="1" ht="14.25" customHeight="1" x14ac:dyDescent="0.35"/>
    <row r="778" s="39" customFormat="1" ht="14.25" customHeight="1" x14ac:dyDescent="0.35"/>
    <row r="779" s="39" customFormat="1" ht="14.25" customHeight="1" x14ac:dyDescent="0.35"/>
    <row r="780" s="39" customFormat="1" ht="14.25" customHeight="1" x14ac:dyDescent="0.35"/>
    <row r="781" s="39" customFormat="1" ht="14.25" customHeight="1" x14ac:dyDescent="0.35"/>
    <row r="782" s="39" customFormat="1" ht="14.25" customHeight="1" x14ac:dyDescent="0.35"/>
    <row r="783" s="39" customFormat="1" ht="14.25" customHeight="1" x14ac:dyDescent="0.35"/>
    <row r="784" s="39" customFormat="1" ht="14.25" customHeight="1" x14ac:dyDescent="0.35"/>
    <row r="785" s="39" customFormat="1" ht="14.25" customHeight="1" x14ac:dyDescent="0.35"/>
    <row r="786" s="39" customFormat="1" ht="14.25" customHeight="1" x14ac:dyDescent="0.35"/>
    <row r="787" s="39" customFormat="1" ht="14.25" customHeight="1" x14ac:dyDescent="0.35"/>
    <row r="788" s="39" customFormat="1" ht="14.25" customHeight="1" x14ac:dyDescent="0.35"/>
    <row r="789" s="39" customFormat="1" ht="14.25" customHeight="1" x14ac:dyDescent="0.35"/>
    <row r="790" s="39" customFormat="1" ht="14.25" customHeight="1" x14ac:dyDescent="0.35"/>
    <row r="791" s="39" customFormat="1" ht="14.25" customHeight="1" x14ac:dyDescent="0.35"/>
    <row r="792" s="39" customFormat="1" ht="14.25" customHeight="1" x14ac:dyDescent="0.35"/>
    <row r="793" s="39" customFormat="1" ht="14.25" customHeight="1" x14ac:dyDescent="0.35"/>
    <row r="794" s="39" customFormat="1" ht="14.25" customHeight="1" x14ac:dyDescent="0.35"/>
    <row r="795" s="39" customFormat="1" ht="14.25" customHeight="1" x14ac:dyDescent="0.35"/>
    <row r="796" s="39" customFormat="1" ht="14.25" customHeight="1" x14ac:dyDescent="0.35"/>
    <row r="797" s="39" customFormat="1" ht="14.25" customHeight="1" x14ac:dyDescent="0.35"/>
    <row r="798" s="39" customFormat="1" ht="14.25" customHeight="1" x14ac:dyDescent="0.35"/>
    <row r="799" s="39" customFormat="1" ht="14.25" customHeight="1" x14ac:dyDescent="0.35"/>
    <row r="800" s="39" customFormat="1" ht="14.25" customHeight="1" x14ac:dyDescent="0.35"/>
    <row r="801" s="39" customFormat="1" ht="14.25" customHeight="1" x14ac:dyDescent="0.35"/>
    <row r="802" s="39" customFormat="1" ht="14.25" customHeight="1" x14ac:dyDescent="0.35"/>
    <row r="803" s="39" customFormat="1" ht="14.25" customHeight="1" x14ac:dyDescent="0.35"/>
    <row r="804" s="39" customFormat="1" ht="14.25" customHeight="1" x14ac:dyDescent="0.35"/>
    <row r="805" s="39" customFormat="1" ht="14.25" customHeight="1" x14ac:dyDescent="0.35"/>
    <row r="806" s="39" customFormat="1" ht="14.25" customHeight="1" x14ac:dyDescent="0.35"/>
    <row r="807" s="39" customFormat="1" ht="14.25" customHeight="1" x14ac:dyDescent="0.35"/>
    <row r="808" s="39" customFormat="1" ht="14.25" customHeight="1" x14ac:dyDescent="0.35"/>
    <row r="809" s="39" customFormat="1" ht="14.25" customHeight="1" x14ac:dyDescent="0.35"/>
    <row r="810" s="39" customFormat="1" ht="14.25" customHeight="1" x14ac:dyDescent="0.35"/>
    <row r="811" s="39" customFormat="1" ht="14.25" customHeight="1" x14ac:dyDescent="0.35"/>
    <row r="812" s="39" customFormat="1" ht="14.25" customHeight="1" x14ac:dyDescent="0.35"/>
    <row r="813" s="39" customFormat="1" ht="14.25" customHeight="1" x14ac:dyDescent="0.35"/>
    <row r="814" s="39" customFormat="1" ht="14.25" customHeight="1" x14ac:dyDescent="0.35"/>
    <row r="815" s="39" customFormat="1" ht="14.25" customHeight="1" x14ac:dyDescent="0.35"/>
    <row r="816" s="39" customFormat="1" ht="14.25" customHeight="1" x14ac:dyDescent="0.35"/>
    <row r="817" s="39" customFormat="1" ht="14.25" customHeight="1" x14ac:dyDescent="0.35"/>
    <row r="818" s="39" customFormat="1" ht="14.25" customHeight="1" x14ac:dyDescent="0.35"/>
    <row r="819" s="39" customFormat="1" ht="14.25" customHeight="1" x14ac:dyDescent="0.35"/>
    <row r="820" s="39" customFormat="1" ht="14.25" customHeight="1" x14ac:dyDescent="0.35"/>
    <row r="821" s="39" customFormat="1" ht="14.25" customHeight="1" x14ac:dyDescent="0.35"/>
    <row r="822" s="39" customFormat="1" ht="14.25" customHeight="1" x14ac:dyDescent="0.35"/>
    <row r="823" s="39" customFormat="1" ht="14.25" customHeight="1" x14ac:dyDescent="0.35"/>
    <row r="824" s="39" customFormat="1" ht="14.25" customHeight="1" x14ac:dyDescent="0.35"/>
    <row r="825" s="39" customFormat="1" ht="14.25" customHeight="1" x14ac:dyDescent="0.35"/>
    <row r="826" s="39" customFormat="1" ht="14.25" customHeight="1" x14ac:dyDescent="0.35"/>
    <row r="827" s="39" customFormat="1" ht="14.25" customHeight="1" x14ac:dyDescent="0.35"/>
    <row r="828" s="39" customFormat="1" ht="14.25" customHeight="1" x14ac:dyDescent="0.35"/>
    <row r="829" s="39" customFormat="1" ht="14.25" customHeight="1" x14ac:dyDescent="0.35"/>
    <row r="830" s="39" customFormat="1" ht="14.25" customHeight="1" x14ac:dyDescent="0.35"/>
    <row r="831" s="39" customFormat="1" ht="14.25" customHeight="1" x14ac:dyDescent="0.35"/>
    <row r="832" s="39" customFormat="1" ht="14.25" customHeight="1" x14ac:dyDescent="0.35"/>
    <row r="833" s="39" customFormat="1" ht="14.25" customHeight="1" x14ac:dyDescent="0.35"/>
    <row r="834" s="39" customFormat="1" ht="14.25" customHeight="1" x14ac:dyDescent="0.35"/>
    <row r="835" s="39" customFormat="1" ht="14.25" customHeight="1" x14ac:dyDescent="0.35"/>
    <row r="836" s="39" customFormat="1" ht="14.25" customHeight="1" x14ac:dyDescent="0.35"/>
    <row r="837" s="39" customFormat="1" ht="14.25" customHeight="1" x14ac:dyDescent="0.35"/>
    <row r="838" s="39" customFormat="1" ht="14.25" customHeight="1" x14ac:dyDescent="0.35"/>
    <row r="839" s="39" customFormat="1" ht="14.25" customHeight="1" x14ac:dyDescent="0.35"/>
    <row r="840" s="39" customFormat="1" ht="14.25" customHeight="1" x14ac:dyDescent="0.35"/>
    <row r="841" s="39" customFormat="1" ht="14.25" customHeight="1" x14ac:dyDescent="0.35"/>
    <row r="842" s="39" customFormat="1" ht="14.25" customHeight="1" x14ac:dyDescent="0.35"/>
    <row r="843" s="39" customFormat="1" ht="14.25" customHeight="1" x14ac:dyDescent="0.35"/>
    <row r="844" s="39" customFormat="1" ht="14.25" customHeight="1" x14ac:dyDescent="0.35"/>
    <row r="845" s="39" customFormat="1" ht="14.25" customHeight="1" x14ac:dyDescent="0.35"/>
    <row r="846" s="39" customFormat="1" ht="14.25" customHeight="1" x14ac:dyDescent="0.35"/>
    <row r="847" s="39" customFormat="1" ht="14.25" customHeight="1" x14ac:dyDescent="0.35"/>
    <row r="848" s="39" customFormat="1" ht="14.25" customHeight="1" x14ac:dyDescent="0.35"/>
    <row r="849" s="39" customFormat="1" ht="14.25" customHeight="1" x14ac:dyDescent="0.35"/>
    <row r="850" s="39" customFormat="1" ht="14.25" customHeight="1" x14ac:dyDescent="0.35"/>
    <row r="851" s="39" customFormat="1" ht="14.25" customHeight="1" x14ac:dyDescent="0.35"/>
    <row r="852" s="39" customFormat="1" ht="14.25" customHeight="1" x14ac:dyDescent="0.35"/>
    <row r="853" s="39" customFormat="1" ht="14.25" customHeight="1" x14ac:dyDescent="0.35"/>
    <row r="854" s="39" customFormat="1" ht="14.25" customHeight="1" x14ac:dyDescent="0.35"/>
    <row r="855" s="39" customFormat="1" ht="14.25" customHeight="1" x14ac:dyDescent="0.35"/>
    <row r="856" s="39" customFormat="1" ht="14.25" customHeight="1" x14ac:dyDescent="0.35"/>
    <row r="857" s="39" customFormat="1" ht="14.25" customHeight="1" x14ac:dyDescent="0.35"/>
    <row r="858" s="39" customFormat="1" ht="14.25" customHeight="1" x14ac:dyDescent="0.35"/>
    <row r="859" s="39" customFormat="1" ht="14.25" customHeight="1" x14ac:dyDescent="0.35"/>
    <row r="860" s="39" customFormat="1" ht="14.25" customHeight="1" x14ac:dyDescent="0.35"/>
    <row r="861" s="39" customFormat="1" ht="14.25" customHeight="1" x14ac:dyDescent="0.35"/>
    <row r="862" s="39" customFormat="1" ht="14.25" customHeight="1" x14ac:dyDescent="0.35"/>
    <row r="863" s="39" customFormat="1" ht="14.25" customHeight="1" x14ac:dyDescent="0.35"/>
    <row r="864" s="39" customFormat="1" ht="14.25" customHeight="1" x14ac:dyDescent="0.35"/>
    <row r="865" s="39" customFormat="1" ht="14.25" customHeight="1" x14ac:dyDescent="0.35"/>
    <row r="866" s="39" customFormat="1" ht="14.25" customHeight="1" x14ac:dyDescent="0.35"/>
    <row r="867" s="39" customFormat="1" ht="14.25" customHeight="1" x14ac:dyDescent="0.35"/>
    <row r="868" s="39" customFormat="1" ht="14.25" customHeight="1" x14ac:dyDescent="0.35"/>
    <row r="869" s="39" customFormat="1" ht="14.25" customHeight="1" x14ac:dyDescent="0.35"/>
    <row r="870" s="39" customFormat="1" ht="14.25" customHeight="1" x14ac:dyDescent="0.35"/>
    <row r="871" s="39" customFormat="1" ht="14.25" customHeight="1" x14ac:dyDescent="0.35"/>
    <row r="872" s="39" customFormat="1" ht="14.25" customHeight="1" x14ac:dyDescent="0.35"/>
    <row r="873" s="39" customFormat="1" ht="14.25" customHeight="1" x14ac:dyDescent="0.35"/>
    <row r="874" s="39" customFormat="1" ht="14.25" customHeight="1" x14ac:dyDescent="0.35"/>
    <row r="875" s="39" customFormat="1" ht="14.25" customHeight="1" x14ac:dyDescent="0.35"/>
    <row r="876" s="39" customFormat="1" ht="14.25" customHeight="1" x14ac:dyDescent="0.35"/>
    <row r="877" s="39" customFormat="1" ht="14.25" customHeight="1" x14ac:dyDescent="0.35"/>
    <row r="878" s="39" customFormat="1" ht="14.25" customHeight="1" x14ac:dyDescent="0.35"/>
    <row r="879" s="39" customFormat="1" ht="14.25" customHeight="1" x14ac:dyDescent="0.35"/>
    <row r="880" s="39" customFormat="1" ht="14.25" customHeight="1" x14ac:dyDescent="0.35"/>
    <row r="881" s="39" customFormat="1" ht="14.25" customHeight="1" x14ac:dyDescent="0.35"/>
    <row r="882" s="39" customFormat="1" ht="14.25" customHeight="1" x14ac:dyDescent="0.35"/>
    <row r="883" s="39" customFormat="1" ht="14.25" customHeight="1" x14ac:dyDescent="0.35"/>
    <row r="884" s="39" customFormat="1" ht="14.25" customHeight="1" x14ac:dyDescent="0.35"/>
    <row r="885" s="39" customFormat="1" ht="14.25" customHeight="1" x14ac:dyDescent="0.35"/>
    <row r="886" s="39" customFormat="1" ht="14.25" customHeight="1" x14ac:dyDescent="0.35"/>
    <row r="887" s="39" customFormat="1" ht="14.25" customHeight="1" x14ac:dyDescent="0.35"/>
    <row r="888" s="39" customFormat="1" ht="14.25" customHeight="1" x14ac:dyDescent="0.35"/>
    <row r="889" s="39" customFormat="1" ht="14.25" customHeight="1" x14ac:dyDescent="0.35"/>
    <row r="890" s="39" customFormat="1" ht="14.25" customHeight="1" x14ac:dyDescent="0.35"/>
    <row r="891" s="39" customFormat="1" ht="14.25" customHeight="1" x14ac:dyDescent="0.35"/>
    <row r="892" s="39" customFormat="1" ht="14.25" customHeight="1" x14ac:dyDescent="0.35"/>
    <row r="893" s="39" customFormat="1" ht="14.25" customHeight="1" x14ac:dyDescent="0.35"/>
    <row r="894" s="39" customFormat="1" ht="14.25" customHeight="1" x14ac:dyDescent="0.35"/>
    <row r="895" s="39" customFormat="1" ht="14.25" customHeight="1" x14ac:dyDescent="0.35"/>
    <row r="896" s="39" customFormat="1" ht="14.25" customHeight="1" x14ac:dyDescent="0.35"/>
    <row r="897" s="39" customFormat="1" ht="14.25" customHeight="1" x14ac:dyDescent="0.35"/>
    <row r="898" s="39" customFormat="1" ht="14.25" customHeight="1" x14ac:dyDescent="0.35"/>
    <row r="899" s="39" customFormat="1" ht="14.25" customHeight="1" x14ac:dyDescent="0.35"/>
    <row r="900" s="39" customFormat="1" ht="14.25" customHeight="1" x14ac:dyDescent="0.35"/>
    <row r="901" s="39" customFormat="1" ht="14.25" customHeight="1" x14ac:dyDescent="0.35"/>
    <row r="902" s="39" customFormat="1" ht="14.25" customHeight="1" x14ac:dyDescent="0.35"/>
    <row r="903" s="39" customFormat="1" ht="14.25" customHeight="1" x14ac:dyDescent="0.35"/>
    <row r="904" s="39" customFormat="1" ht="14.25" customHeight="1" x14ac:dyDescent="0.35"/>
    <row r="905" s="39" customFormat="1" ht="14.25" customHeight="1" x14ac:dyDescent="0.35"/>
    <row r="906" s="39" customFormat="1" ht="14.25" customHeight="1" x14ac:dyDescent="0.35"/>
    <row r="907" s="39" customFormat="1" ht="14.25" customHeight="1" x14ac:dyDescent="0.35"/>
    <row r="908" s="39" customFormat="1" ht="14.25" customHeight="1" x14ac:dyDescent="0.35"/>
    <row r="909" s="39" customFormat="1" ht="14.25" customHeight="1" x14ac:dyDescent="0.35"/>
    <row r="910" s="39" customFormat="1" ht="14.25" customHeight="1" x14ac:dyDescent="0.35"/>
    <row r="911" s="39" customFormat="1" ht="14.25" customHeight="1" x14ac:dyDescent="0.35"/>
    <row r="912" s="39" customFormat="1" ht="14.25" customHeight="1" x14ac:dyDescent="0.35"/>
    <row r="913" s="39" customFormat="1" ht="14.25" customHeight="1" x14ac:dyDescent="0.35"/>
    <row r="914" s="39" customFormat="1" ht="14.25" customHeight="1" x14ac:dyDescent="0.35"/>
    <row r="915" s="39" customFormat="1" ht="14.25" customHeight="1" x14ac:dyDescent="0.35"/>
    <row r="916" s="39" customFormat="1" ht="14.25" customHeight="1" x14ac:dyDescent="0.35"/>
    <row r="917" s="39" customFormat="1" ht="14.25" customHeight="1" x14ac:dyDescent="0.35"/>
    <row r="918" s="39" customFormat="1" ht="14.25" customHeight="1" x14ac:dyDescent="0.35"/>
    <row r="919" s="39" customFormat="1" ht="14.25" customHeight="1" x14ac:dyDescent="0.35"/>
    <row r="920" s="39" customFormat="1" ht="14.25" customHeight="1" x14ac:dyDescent="0.35"/>
    <row r="921" s="39" customFormat="1" ht="14.25" customHeight="1" x14ac:dyDescent="0.35"/>
    <row r="922" s="39" customFormat="1" ht="14.25" customHeight="1" x14ac:dyDescent="0.35"/>
    <row r="923" s="39" customFormat="1" ht="14.25" customHeight="1" x14ac:dyDescent="0.35"/>
    <row r="924" s="39" customFormat="1" ht="14.25" customHeight="1" x14ac:dyDescent="0.35"/>
    <row r="925" s="39" customFormat="1" ht="14.25" customHeight="1" x14ac:dyDescent="0.35"/>
    <row r="926" s="39" customFormat="1" ht="14.25" customHeight="1" x14ac:dyDescent="0.35"/>
    <row r="927" s="39" customFormat="1" ht="14.25" customHeight="1" x14ac:dyDescent="0.35"/>
    <row r="928" s="39" customFormat="1" ht="14.25" customHeight="1" x14ac:dyDescent="0.35"/>
    <row r="929" s="39" customFormat="1" ht="14.25" customHeight="1" x14ac:dyDescent="0.35"/>
    <row r="930" s="39" customFormat="1" ht="14.25" customHeight="1" x14ac:dyDescent="0.35"/>
    <row r="931" s="39" customFormat="1" ht="14.25" customHeight="1" x14ac:dyDescent="0.35"/>
    <row r="932" s="39" customFormat="1" ht="14.25" customHeight="1" x14ac:dyDescent="0.35"/>
    <row r="933" s="39" customFormat="1" ht="14.25" customHeight="1" x14ac:dyDescent="0.35"/>
    <row r="934" s="39" customFormat="1" ht="14.25" customHeight="1" x14ac:dyDescent="0.35"/>
    <row r="935" s="39" customFormat="1" ht="14.25" customHeight="1" x14ac:dyDescent="0.35"/>
    <row r="936" s="39" customFormat="1" ht="14.25" customHeight="1" x14ac:dyDescent="0.35"/>
    <row r="937" s="39" customFormat="1" ht="14.25" customHeight="1" x14ac:dyDescent="0.35"/>
    <row r="938" s="39" customFormat="1" ht="14.25" customHeight="1" x14ac:dyDescent="0.35"/>
    <row r="939" s="39" customFormat="1" ht="14.25" customHeight="1" x14ac:dyDescent="0.35"/>
    <row r="940" s="39" customFormat="1" ht="14.25" customHeight="1" x14ac:dyDescent="0.35"/>
    <row r="941" s="39" customFormat="1" ht="14.25" customHeight="1" x14ac:dyDescent="0.35"/>
    <row r="942" s="39" customFormat="1" ht="14.25" customHeight="1" x14ac:dyDescent="0.35"/>
    <row r="943" s="39" customFormat="1" ht="14.25" customHeight="1" x14ac:dyDescent="0.35"/>
    <row r="944" s="39" customFormat="1" ht="14.25" customHeight="1" x14ac:dyDescent="0.35"/>
    <row r="945" s="39" customFormat="1" ht="14.25" customHeight="1" x14ac:dyDescent="0.35"/>
    <row r="946" s="39" customFormat="1" ht="14.25" customHeight="1" x14ac:dyDescent="0.35"/>
    <row r="947" s="39" customFormat="1" ht="14.25" customHeight="1" x14ac:dyDescent="0.35"/>
    <row r="948" s="39" customFormat="1" ht="14.25" customHeight="1" x14ac:dyDescent="0.35"/>
    <row r="949" s="39" customFormat="1" ht="14.25" customHeight="1" x14ac:dyDescent="0.35"/>
    <row r="950" s="39" customFormat="1" ht="14.25" customHeight="1" x14ac:dyDescent="0.35"/>
    <row r="951" s="39" customFormat="1" ht="14.25" customHeight="1" x14ac:dyDescent="0.35"/>
    <row r="952" s="39" customFormat="1" ht="14.25" customHeight="1" x14ac:dyDescent="0.35"/>
    <row r="953" s="39" customFormat="1" ht="14.25" customHeight="1" x14ac:dyDescent="0.35"/>
    <row r="954" s="39" customFormat="1" ht="14.25" customHeight="1" x14ac:dyDescent="0.35"/>
    <row r="955" s="39" customFormat="1" ht="14.25" customHeight="1" x14ac:dyDescent="0.35"/>
    <row r="956" s="39" customFormat="1" ht="14.25" customHeight="1" x14ac:dyDescent="0.35"/>
    <row r="957" s="39" customFormat="1" ht="14.25" customHeight="1" x14ac:dyDescent="0.35"/>
    <row r="958" s="39" customFormat="1" ht="14.25" customHeight="1" x14ac:dyDescent="0.35"/>
    <row r="959" s="39" customFormat="1" ht="14.25" customHeight="1" x14ac:dyDescent="0.35"/>
    <row r="960" s="39" customFormat="1" ht="14.25" customHeight="1" x14ac:dyDescent="0.35"/>
    <row r="961" s="39" customFormat="1" ht="14.25" customHeight="1" x14ac:dyDescent="0.35"/>
    <row r="962" s="39" customFormat="1" ht="14.25" customHeight="1" x14ac:dyDescent="0.35"/>
    <row r="963" s="39" customFormat="1" ht="14.25" customHeight="1" x14ac:dyDescent="0.35"/>
    <row r="964" s="39" customFormat="1" ht="14.25" customHeight="1" x14ac:dyDescent="0.35"/>
    <row r="965" s="39" customFormat="1" ht="14.25" customHeight="1" x14ac:dyDescent="0.35"/>
    <row r="966" s="39" customFormat="1" ht="14.25" customHeight="1" x14ac:dyDescent="0.35"/>
    <row r="967" s="39" customFormat="1" ht="14.25" customHeight="1" x14ac:dyDescent="0.35"/>
    <row r="968" s="39" customFormat="1" ht="14.25" customHeight="1" x14ac:dyDescent="0.35"/>
    <row r="969" s="39" customFormat="1" ht="14.25" customHeight="1" x14ac:dyDescent="0.35"/>
    <row r="970" s="39" customFormat="1" ht="14.25" customHeight="1" x14ac:dyDescent="0.35"/>
    <row r="971" s="39" customFormat="1" ht="14.25" customHeight="1" x14ac:dyDescent="0.35"/>
    <row r="972" s="39" customFormat="1" ht="14.25" customHeight="1" x14ac:dyDescent="0.35"/>
    <row r="973" s="39" customFormat="1" ht="14.25" customHeight="1" x14ac:dyDescent="0.35"/>
    <row r="974" s="39" customFormat="1" ht="14.25" customHeight="1" x14ac:dyDescent="0.35"/>
    <row r="975" s="39" customFormat="1" ht="14.25" customHeight="1" x14ac:dyDescent="0.35"/>
    <row r="976" s="39" customFormat="1" ht="14.25" customHeight="1" x14ac:dyDescent="0.35"/>
    <row r="977" s="39" customFormat="1" ht="14.25" customHeight="1" x14ac:dyDescent="0.35"/>
    <row r="978" s="39" customFormat="1" ht="14.25" customHeight="1" x14ac:dyDescent="0.35"/>
    <row r="979" s="39" customFormat="1" ht="14.25" customHeight="1" x14ac:dyDescent="0.35"/>
    <row r="980" s="39" customFormat="1" ht="14.25" customHeight="1" x14ac:dyDescent="0.35"/>
    <row r="981" s="39" customFormat="1" ht="14.25" customHeight="1" x14ac:dyDescent="0.35"/>
    <row r="982" s="39" customFormat="1" ht="14.25" customHeight="1" x14ac:dyDescent="0.35"/>
    <row r="983" s="39" customFormat="1" ht="14.25" customHeight="1" x14ac:dyDescent="0.35"/>
    <row r="984" s="39" customFormat="1" ht="14.25" customHeight="1" x14ac:dyDescent="0.35"/>
    <row r="985" s="39" customFormat="1" ht="14.25" customHeight="1" x14ac:dyDescent="0.35"/>
    <row r="986" s="39" customFormat="1" ht="14.25" customHeight="1" x14ac:dyDescent="0.35"/>
    <row r="987" s="39" customFormat="1" ht="14.25" customHeight="1" x14ac:dyDescent="0.35"/>
    <row r="988" s="39" customFormat="1" ht="14.25" customHeight="1" x14ac:dyDescent="0.35"/>
    <row r="989" s="39" customFormat="1" ht="14.25" customHeight="1" x14ac:dyDescent="0.35"/>
    <row r="990" s="39" customFormat="1" ht="14.25" customHeight="1" x14ac:dyDescent="0.35"/>
    <row r="991" s="39" customFormat="1" ht="14.25" customHeight="1" x14ac:dyDescent="0.35"/>
    <row r="992" s="39" customFormat="1" ht="14.25" customHeight="1" x14ac:dyDescent="0.35"/>
    <row r="993" s="39" customFormat="1" ht="14.25" customHeight="1" x14ac:dyDescent="0.35"/>
    <row r="994" s="39" customFormat="1" ht="14.25" customHeight="1" x14ac:dyDescent="0.35"/>
    <row r="995" s="39" customFormat="1" ht="14.25" customHeight="1" x14ac:dyDescent="0.35"/>
    <row r="996" s="39" customFormat="1" ht="14.25" customHeight="1" x14ac:dyDescent="0.35"/>
    <row r="997" s="39" customFormat="1" ht="14.25" customHeight="1" x14ac:dyDescent="0.35"/>
    <row r="998" s="39" customFormat="1" ht="14.25" customHeight="1" x14ac:dyDescent="0.35"/>
    <row r="999" s="39" customFormat="1" ht="14.25" customHeight="1" x14ac:dyDescent="0.35"/>
    <row r="1000" s="39" customFormat="1" ht="14.25" customHeight="1" x14ac:dyDescent="0.35"/>
  </sheetData>
  <pageMargins left="0.75" right="0.75" top="1" bottom="1" header="0" footer="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4F1D-D870-4088-A6E4-FCE37052A55A}">
  <sheetPr>
    <tabColor rgb="FF92CDDC"/>
  </sheetPr>
  <dimension ref="A1:Z1000"/>
  <sheetViews>
    <sheetView workbookViewId="0">
      <selection activeCell="D26" sqref="D26"/>
    </sheetView>
  </sheetViews>
  <sheetFormatPr defaultColWidth="14.453125" defaultRowHeight="15" customHeight="1" x14ac:dyDescent="0.35"/>
  <cols>
    <col min="1" max="1" width="3.26953125" style="39" customWidth="1"/>
    <col min="2" max="2" width="20.54296875" style="39" customWidth="1"/>
    <col min="3" max="3" width="1.7265625" style="39" customWidth="1"/>
    <col min="4" max="4" width="3.26953125" style="39" customWidth="1"/>
    <col min="5" max="5" width="20.54296875" style="39" customWidth="1"/>
    <col min="6" max="6" width="1.7265625" style="39" customWidth="1"/>
    <col min="7" max="7" width="3.26953125" style="39" customWidth="1"/>
    <col min="8" max="8" width="20.54296875" style="39" customWidth="1"/>
    <col min="9" max="9" width="1.7265625" style="39" customWidth="1"/>
    <col min="10" max="10" width="3.26953125" style="39" customWidth="1"/>
    <col min="11" max="11" width="20.54296875" style="39" customWidth="1"/>
    <col min="12" max="12" width="1.7265625" style="39" customWidth="1"/>
    <col min="13" max="13" width="3.26953125" style="39" customWidth="1"/>
    <col min="14" max="14" width="20.54296875" style="39" customWidth="1"/>
    <col min="15" max="15" width="1.7265625" style="39" customWidth="1"/>
    <col min="16" max="16" width="3.26953125" style="39" customWidth="1"/>
    <col min="17" max="17" width="20.54296875" style="39" customWidth="1"/>
    <col min="18" max="26" width="8.7265625" style="39" customWidth="1"/>
    <col min="27" max="16384" width="14.453125" style="39"/>
  </cols>
  <sheetData>
    <row r="1" spans="1:26" ht="14.25" customHeight="1" x14ac:dyDescent="0.3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4.25" customHeight="1" x14ac:dyDescent="0.35">
      <c r="A2" s="44"/>
      <c r="B2" s="44"/>
      <c r="C2" s="44"/>
      <c r="D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14.25" customHeight="1" x14ac:dyDescent="0.3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4.25" customHeight="1" x14ac:dyDescent="0.3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14.25" customHeight="1" x14ac:dyDescent="0.3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50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4.25" customHeight="1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4.25" customHeight="1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4.25" customHeight="1" x14ac:dyDescent="0.35">
      <c r="A8" s="63" t="s">
        <v>85</v>
      </c>
      <c r="B8" s="64"/>
      <c r="C8" s="49"/>
      <c r="D8" s="63" t="s">
        <v>86</v>
      </c>
      <c r="E8" s="64"/>
      <c r="F8" s="49"/>
      <c r="G8" s="63" t="s">
        <v>87</v>
      </c>
      <c r="H8" s="64"/>
      <c r="I8" s="49"/>
      <c r="J8" s="63" t="s">
        <v>88</v>
      </c>
      <c r="K8" s="64"/>
      <c r="L8" s="49"/>
      <c r="M8" s="63" t="s">
        <v>89</v>
      </c>
      <c r="N8" s="64"/>
      <c r="O8" s="49"/>
      <c r="P8" s="63" t="s">
        <v>90</v>
      </c>
      <c r="Q8" s="64"/>
      <c r="R8" s="49"/>
      <c r="S8" s="49"/>
      <c r="T8" s="49"/>
      <c r="U8" s="49"/>
      <c r="V8" s="49"/>
      <c r="W8" s="49"/>
      <c r="X8" s="49"/>
      <c r="Y8" s="49"/>
      <c r="Z8" s="49"/>
    </row>
    <row r="9" spans="1:26" ht="14.25" customHeight="1" x14ac:dyDescent="0.3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4.25" customHeight="1" x14ac:dyDescent="0.35">
      <c r="A10" s="45">
        <v>1</v>
      </c>
      <c r="B10" s="46" t="s">
        <v>10</v>
      </c>
      <c r="C10" s="44"/>
      <c r="D10" s="45">
        <v>1</v>
      </c>
      <c r="E10" s="46" t="s">
        <v>168</v>
      </c>
      <c r="F10" s="44"/>
      <c r="G10" s="45">
        <v>1</v>
      </c>
      <c r="H10" s="46" t="s">
        <v>146</v>
      </c>
      <c r="I10" s="44"/>
      <c r="J10" s="45">
        <v>1</v>
      </c>
      <c r="K10" s="46" t="s">
        <v>148</v>
      </c>
      <c r="L10" s="44"/>
      <c r="M10" s="45">
        <v>1</v>
      </c>
      <c r="N10" s="46" t="s">
        <v>148</v>
      </c>
      <c r="O10" s="44"/>
      <c r="P10" s="45">
        <v>1</v>
      </c>
      <c r="Q10" s="46" t="s">
        <v>148</v>
      </c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4.25" customHeight="1" x14ac:dyDescent="0.35">
      <c r="A11" s="45">
        <f t="shared" ref="A11:A41" si="0">A10+1</f>
        <v>2</v>
      </c>
      <c r="B11" s="46" t="s">
        <v>13</v>
      </c>
      <c r="C11" s="44"/>
      <c r="D11" s="45">
        <f t="shared" ref="D11:D25" si="1">D10+1</f>
        <v>2</v>
      </c>
      <c r="E11" s="46" t="s">
        <v>146</v>
      </c>
      <c r="F11" s="44"/>
      <c r="G11" s="45">
        <f t="shared" ref="G11:G17" si="2">G10+1</f>
        <v>2</v>
      </c>
      <c r="H11" s="46" t="s">
        <v>148</v>
      </c>
      <c r="I11" s="44"/>
      <c r="J11" s="45">
        <f>J10+1</f>
        <v>2</v>
      </c>
      <c r="K11" s="46" t="s">
        <v>157</v>
      </c>
      <c r="L11" s="44"/>
      <c r="M11" s="45">
        <f>M10+1</f>
        <v>2</v>
      </c>
      <c r="N11" s="46" t="s">
        <v>155</v>
      </c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4.25" customHeight="1" x14ac:dyDescent="0.35">
      <c r="A12" s="45">
        <f t="shared" si="0"/>
        <v>3</v>
      </c>
      <c r="B12" s="46" t="s">
        <v>170</v>
      </c>
      <c r="C12" s="44"/>
      <c r="D12" s="45">
        <f t="shared" si="1"/>
        <v>3</v>
      </c>
      <c r="E12" s="46" t="s">
        <v>165</v>
      </c>
      <c r="F12" s="44"/>
      <c r="G12" s="45">
        <f t="shared" si="2"/>
        <v>3</v>
      </c>
      <c r="H12" s="46" t="s">
        <v>157</v>
      </c>
      <c r="I12" s="44"/>
      <c r="J12" s="45">
        <f>J11+1</f>
        <v>3</v>
      </c>
      <c r="K12" s="46" t="s">
        <v>167</v>
      </c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4.25" customHeight="1" x14ac:dyDescent="0.35">
      <c r="A13" s="45">
        <f t="shared" si="0"/>
        <v>4</v>
      </c>
      <c r="B13" s="46" t="s">
        <v>168</v>
      </c>
      <c r="C13" s="44"/>
      <c r="D13" s="45">
        <f t="shared" si="1"/>
        <v>4</v>
      </c>
      <c r="E13" s="46" t="s">
        <v>148</v>
      </c>
      <c r="F13" s="44"/>
      <c r="G13" s="45">
        <f t="shared" si="2"/>
        <v>4</v>
      </c>
      <c r="H13" s="46" t="s">
        <v>160</v>
      </c>
      <c r="I13" s="44"/>
      <c r="J13" s="45">
        <f>J12+1</f>
        <v>4</v>
      </c>
      <c r="K13" s="46" t="s">
        <v>155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4.25" customHeight="1" x14ac:dyDescent="0.35">
      <c r="A14" s="45">
        <f t="shared" si="0"/>
        <v>5</v>
      </c>
      <c r="B14" s="46" t="s">
        <v>169</v>
      </c>
      <c r="C14" s="44"/>
      <c r="D14" s="45">
        <f t="shared" si="1"/>
        <v>5</v>
      </c>
      <c r="E14" s="46" t="s">
        <v>157</v>
      </c>
      <c r="F14" s="44"/>
      <c r="G14" s="45">
        <f t="shared" si="2"/>
        <v>5</v>
      </c>
      <c r="H14" s="46" t="s">
        <v>167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4.25" customHeight="1" x14ac:dyDescent="0.35">
      <c r="A15" s="45">
        <f t="shared" si="0"/>
        <v>6</v>
      </c>
      <c r="B15" s="46" t="s">
        <v>18</v>
      </c>
      <c r="C15" s="44"/>
      <c r="D15" s="45">
        <f t="shared" si="1"/>
        <v>6</v>
      </c>
      <c r="E15" s="46" t="s">
        <v>150</v>
      </c>
      <c r="F15" s="44"/>
      <c r="G15" s="45">
        <f t="shared" si="2"/>
        <v>6</v>
      </c>
      <c r="H15" s="46" t="s">
        <v>10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4.25" customHeight="1" x14ac:dyDescent="0.35">
      <c r="A16" s="45">
        <f t="shared" si="0"/>
        <v>7</v>
      </c>
      <c r="B16" s="46" t="s">
        <v>341</v>
      </c>
      <c r="C16" s="44"/>
      <c r="D16" s="45">
        <f t="shared" si="1"/>
        <v>7</v>
      </c>
      <c r="E16" s="46" t="s">
        <v>160</v>
      </c>
      <c r="F16" s="44"/>
      <c r="G16" s="45">
        <f t="shared" si="2"/>
        <v>7</v>
      </c>
      <c r="H16" s="46" t="s">
        <v>155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4.25" customHeight="1" x14ac:dyDescent="0.35">
      <c r="A17" s="45">
        <f t="shared" si="0"/>
        <v>8</v>
      </c>
      <c r="B17" s="46" t="s">
        <v>33</v>
      </c>
      <c r="C17" s="44"/>
      <c r="D17" s="45">
        <f t="shared" si="1"/>
        <v>8</v>
      </c>
      <c r="E17" s="46" t="s">
        <v>341</v>
      </c>
      <c r="F17" s="44"/>
      <c r="G17" s="45">
        <f t="shared" si="2"/>
        <v>8</v>
      </c>
      <c r="H17" s="46" t="s">
        <v>75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4.25" customHeight="1" x14ac:dyDescent="0.35">
      <c r="A18" s="45">
        <f t="shared" si="0"/>
        <v>9</v>
      </c>
      <c r="B18" s="46" t="s">
        <v>162</v>
      </c>
      <c r="C18" s="44"/>
      <c r="D18" s="45">
        <f t="shared" si="1"/>
        <v>9</v>
      </c>
      <c r="E18" s="46" t="s">
        <v>167</v>
      </c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4.25" customHeight="1" x14ac:dyDescent="0.35">
      <c r="A19" s="45">
        <f t="shared" si="0"/>
        <v>10</v>
      </c>
      <c r="B19" s="46" t="s">
        <v>165</v>
      </c>
      <c r="C19" s="44"/>
      <c r="D19" s="45">
        <f t="shared" si="1"/>
        <v>10</v>
      </c>
      <c r="E19" s="46" t="s">
        <v>164</v>
      </c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4.25" customHeight="1" x14ac:dyDescent="0.35">
      <c r="A20" s="45">
        <f t="shared" si="0"/>
        <v>11</v>
      </c>
      <c r="B20" s="46" t="s">
        <v>164</v>
      </c>
      <c r="C20" s="44"/>
      <c r="D20" s="45">
        <f t="shared" si="1"/>
        <v>11</v>
      </c>
      <c r="E20" s="46" t="s">
        <v>10</v>
      </c>
      <c r="F20" s="44"/>
      <c r="G20" s="44"/>
      <c r="H20" s="48" t="s">
        <v>110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4.25" customHeight="1" x14ac:dyDescent="0.35">
      <c r="A21" s="45">
        <f t="shared" si="0"/>
        <v>12</v>
      </c>
      <c r="B21" s="46" t="s">
        <v>40</v>
      </c>
      <c r="C21" s="44"/>
      <c r="D21" s="45">
        <f t="shared" si="1"/>
        <v>12</v>
      </c>
      <c r="E21" s="46" t="s">
        <v>151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4.25" customHeight="1" x14ac:dyDescent="0.35">
      <c r="A22" s="45">
        <f t="shared" si="0"/>
        <v>13</v>
      </c>
      <c r="B22" s="46" t="s">
        <v>146</v>
      </c>
      <c r="C22" s="44"/>
      <c r="D22" s="45">
        <f t="shared" si="1"/>
        <v>13</v>
      </c>
      <c r="E22" s="46" t="s">
        <v>33</v>
      </c>
      <c r="F22" s="44"/>
      <c r="G22" s="44"/>
      <c r="H22" s="44" t="s">
        <v>113</v>
      </c>
      <c r="I22" s="44"/>
      <c r="J22" s="44"/>
      <c r="K22" s="46" t="s">
        <v>340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4.25" customHeight="1" x14ac:dyDescent="0.35">
      <c r="A23" s="45">
        <f t="shared" si="0"/>
        <v>14</v>
      </c>
      <c r="B23" s="46" t="s">
        <v>44</v>
      </c>
      <c r="C23" s="44"/>
      <c r="D23" s="45">
        <f t="shared" si="1"/>
        <v>14</v>
      </c>
      <c r="E23" s="46" t="s">
        <v>155</v>
      </c>
      <c r="F23" s="44"/>
      <c r="G23" s="44"/>
      <c r="H23" s="44" t="s">
        <v>116</v>
      </c>
      <c r="I23" s="44"/>
      <c r="J23" s="44"/>
      <c r="K23" s="46" t="s">
        <v>31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4.25" customHeight="1" x14ac:dyDescent="0.35">
      <c r="A24" s="45">
        <f t="shared" si="0"/>
        <v>15</v>
      </c>
      <c r="B24" s="46" t="s">
        <v>45</v>
      </c>
      <c r="C24" s="44"/>
      <c r="D24" s="45">
        <f t="shared" si="1"/>
        <v>15</v>
      </c>
      <c r="E24" s="46" t="s">
        <v>169</v>
      </c>
      <c r="F24" s="44"/>
      <c r="G24" s="44"/>
      <c r="H24" s="44" t="s">
        <v>119</v>
      </c>
      <c r="I24" s="44"/>
      <c r="J24" s="44"/>
      <c r="K24" s="46" t="s">
        <v>214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4.25" customHeight="1" x14ac:dyDescent="0.35">
      <c r="A25" s="45">
        <f t="shared" si="0"/>
        <v>16</v>
      </c>
      <c r="B25" s="46" t="s">
        <v>160</v>
      </c>
      <c r="C25" s="44"/>
      <c r="D25" s="45">
        <f t="shared" si="1"/>
        <v>16</v>
      </c>
      <c r="E25" s="46" t="s">
        <v>75</v>
      </c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4.25" customHeight="1" x14ac:dyDescent="0.35">
      <c r="A26" s="45">
        <f t="shared" si="0"/>
        <v>17</v>
      </c>
      <c r="B26" s="46" t="s">
        <v>339</v>
      </c>
      <c r="C26" s="44"/>
      <c r="D26" s="44"/>
      <c r="E26" s="44"/>
      <c r="F26" s="44"/>
      <c r="G26" s="44"/>
      <c r="H26" s="44" t="s">
        <v>122</v>
      </c>
      <c r="I26" s="44"/>
      <c r="J26" s="44"/>
      <c r="K26" s="47">
        <v>281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4.25" customHeight="1" x14ac:dyDescent="0.35">
      <c r="A27" s="45">
        <f t="shared" si="0"/>
        <v>18</v>
      </c>
      <c r="B27" s="46" t="s">
        <v>173</v>
      </c>
      <c r="C27" s="44"/>
      <c r="D27" s="44"/>
      <c r="E27" s="44"/>
      <c r="F27" s="44"/>
      <c r="G27" s="44"/>
      <c r="H27" s="44" t="s">
        <v>124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4.25" customHeight="1" x14ac:dyDescent="0.35">
      <c r="A28" s="45">
        <f t="shared" si="0"/>
        <v>19</v>
      </c>
      <c r="B28" s="46" t="s">
        <v>157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4.25" customHeight="1" x14ac:dyDescent="0.35">
      <c r="A29" s="45">
        <f t="shared" si="0"/>
        <v>20</v>
      </c>
      <c r="B29" s="46" t="s">
        <v>59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4.25" customHeight="1" x14ac:dyDescent="0.35">
      <c r="A30" s="45">
        <f t="shared" si="0"/>
        <v>21</v>
      </c>
      <c r="B30" s="46" t="s">
        <v>148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4.25" customHeight="1" x14ac:dyDescent="0.35">
      <c r="A31" s="45">
        <f t="shared" si="0"/>
        <v>22</v>
      </c>
      <c r="B31" s="46" t="s">
        <v>156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4.25" customHeight="1" x14ac:dyDescent="0.35">
      <c r="A32" s="45">
        <f t="shared" si="0"/>
        <v>23</v>
      </c>
      <c r="B32" s="46" t="s">
        <v>63</v>
      </c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4.25" customHeight="1" x14ac:dyDescent="0.35">
      <c r="A33" s="45">
        <f t="shared" si="0"/>
        <v>24</v>
      </c>
      <c r="B33" s="46" t="s">
        <v>155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4.25" customHeight="1" x14ac:dyDescent="0.35">
      <c r="A34" s="45">
        <f t="shared" si="0"/>
        <v>25</v>
      </c>
      <c r="B34" s="46" t="s">
        <v>175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4.25" customHeight="1" x14ac:dyDescent="0.35">
      <c r="A35" s="45">
        <f t="shared" si="0"/>
        <v>26</v>
      </c>
      <c r="B35" s="46" t="s">
        <v>154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4.25" customHeight="1" x14ac:dyDescent="0.35">
      <c r="A36" s="45">
        <f t="shared" si="0"/>
        <v>27</v>
      </c>
      <c r="B36" s="46" t="s">
        <v>75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4.25" customHeight="1" x14ac:dyDescent="0.35">
      <c r="A37" s="45">
        <f t="shared" si="0"/>
        <v>28</v>
      </c>
      <c r="B37" s="46" t="s">
        <v>78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4.25" customHeight="1" x14ac:dyDescent="0.35">
      <c r="A38" s="45">
        <f t="shared" si="0"/>
        <v>29</v>
      </c>
      <c r="B38" s="46" t="s">
        <v>151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4.25" customHeight="1" x14ac:dyDescent="0.35">
      <c r="A39" s="45">
        <f t="shared" si="0"/>
        <v>30</v>
      </c>
      <c r="B39" s="46" t="s">
        <v>83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4.25" customHeight="1" x14ac:dyDescent="0.35">
      <c r="A40" s="45">
        <f t="shared" si="0"/>
        <v>31</v>
      </c>
      <c r="B40" s="46" t="s">
        <v>150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4.25" customHeight="1" x14ac:dyDescent="0.35">
      <c r="A41" s="45">
        <f t="shared" si="0"/>
        <v>32</v>
      </c>
      <c r="B41" s="46" t="s">
        <v>167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4.25" customHeight="1" x14ac:dyDescent="0.35">
      <c r="A42" s="45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4.25" customHeight="1" x14ac:dyDescent="0.3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4.25" customHeight="1" x14ac:dyDescent="0.3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4.25" customHeight="1" x14ac:dyDescent="0.3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4.25" customHeight="1" x14ac:dyDescent="0.35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4.25" customHeight="1" x14ac:dyDescent="0.3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4.25" customHeight="1" x14ac:dyDescent="0.3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4.25" customHeight="1" x14ac:dyDescent="0.3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4.25" customHeight="1" x14ac:dyDescent="0.3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4.25" customHeight="1" x14ac:dyDescent="0.3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4.25" customHeight="1" x14ac:dyDescent="0.3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4.25" customHeight="1" x14ac:dyDescent="0.3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4.25" customHeight="1" x14ac:dyDescent="0.3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4.25" customHeight="1" x14ac:dyDescent="0.3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4.25" customHeight="1" x14ac:dyDescent="0.3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4.25" customHeight="1" x14ac:dyDescent="0.3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4.25" customHeight="1" x14ac:dyDescent="0.3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4.25" customHeight="1" x14ac:dyDescent="0.3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4.25" customHeight="1" x14ac:dyDescent="0.3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4.25" customHeight="1" x14ac:dyDescent="0.3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4.25" customHeight="1" x14ac:dyDescent="0.3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4.25" customHeight="1" x14ac:dyDescent="0.3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4.25" customHeight="1" x14ac:dyDescent="0.3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4.25" customHeight="1" x14ac:dyDescent="0.3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4.25" customHeight="1" x14ac:dyDescent="0.35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4.25" customHeight="1" x14ac:dyDescent="0.35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4.25" customHeight="1" x14ac:dyDescent="0.3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4.25" customHeight="1" x14ac:dyDescent="0.35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4.25" customHeight="1" x14ac:dyDescent="0.35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4.25" customHeight="1" x14ac:dyDescent="0.35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4.25" customHeight="1" x14ac:dyDescent="0.3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4.25" customHeight="1" x14ac:dyDescent="0.35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4.25" customHeight="1" x14ac:dyDescent="0.3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4.25" customHeight="1" x14ac:dyDescent="0.3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4.25" customHeight="1" x14ac:dyDescent="0.3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4.25" customHeight="1" x14ac:dyDescent="0.3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4.25" customHeight="1" x14ac:dyDescent="0.35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4.25" customHeight="1" x14ac:dyDescent="0.35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4.25" customHeight="1" x14ac:dyDescent="0.35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4.25" customHeight="1" x14ac:dyDescent="0.3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4.25" customHeight="1" x14ac:dyDescent="0.3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4.25" customHeight="1" x14ac:dyDescent="0.35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4.25" customHeight="1" x14ac:dyDescent="0.35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4.25" customHeight="1" x14ac:dyDescent="0.3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4.25" customHeight="1" x14ac:dyDescent="0.3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4.25" customHeight="1" x14ac:dyDescent="0.35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4.25" customHeight="1" x14ac:dyDescent="0.35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4.25" customHeight="1" x14ac:dyDescent="0.3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4.25" customHeight="1" x14ac:dyDescent="0.3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4.25" customHeight="1" x14ac:dyDescent="0.3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4.25" customHeight="1" x14ac:dyDescent="0.3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4.25" customHeight="1" x14ac:dyDescent="0.35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4.25" customHeight="1" x14ac:dyDescent="0.3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4.25" customHeight="1" x14ac:dyDescent="0.3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4.25" customHeight="1" x14ac:dyDescent="0.3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4.25" customHeight="1" x14ac:dyDescent="0.3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4.25" customHeight="1" x14ac:dyDescent="0.3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4.25" customHeight="1" x14ac:dyDescent="0.3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4.25" customHeight="1" x14ac:dyDescent="0.3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4.25" customHeight="1" x14ac:dyDescent="0.3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4.25" customHeight="1" x14ac:dyDescent="0.3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4.25" customHeight="1" x14ac:dyDescent="0.3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4.25" customHeight="1" x14ac:dyDescent="0.3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4.25" customHeight="1" x14ac:dyDescent="0.3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4.25" customHeight="1" x14ac:dyDescent="0.3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4.25" customHeight="1" x14ac:dyDescent="0.3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4.25" customHeight="1" x14ac:dyDescent="0.3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4.25" customHeight="1" x14ac:dyDescent="0.3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4.25" customHeight="1" x14ac:dyDescent="0.3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4.25" customHeight="1" x14ac:dyDescent="0.3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4.25" customHeight="1" x14ac:dyDescent="0.3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4.25" customHeight="1" x14ac:dyDescent="0.3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4.25" customHeight="1" x14ac:dyDescent="0.3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4.25" customHeight="1" x14ac:dyDescent="0.3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4.25" customHeight="1" x14ac:dyDescent="0.3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4.25" customHeight="1" x14ac:dyDescent="0.3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4.25" customHeight="1" x14ac:dyDescent="0.3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4.25" customHeight="1" x14ac:dyDescent="0.3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4.25" customHeight="1" x14ac:dyDescent="0.3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4.25" customHeight="1" x14ac:dyDescent="0.3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4.25" customHeight="1" x14ac:dyDescent="0.3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4.25" customHeight="1" x14ac:dyDescent="0.3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4.25" customHeight="1" x14ac:dyDescent="0.3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4.25" customHeight="1" x14ac:dyDescent="0.3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4.25" customHeight="1" x14ac:dyDescent="0.3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4.25" customHeight="1" x14ac:dyDescent="0.3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4.25" customHeight="1" x14ac:dyDescent="0.3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4.25" customHeight="1" x14ac:dyDescent="0.3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4.25" customHeight="1" x14ac:dyDescent="0.3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4.25" customHeight="1" x14ac:dyDescent="0.3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4.25" customHeight="1" x14ac:dyDescent="0.35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4.25" customHeight="1" x14ac:dyDescent="0.35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4.25" customHeight="1" x14ac:dyDescent="0.35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4.25" customHeight="1" x14ac:dyDescent="0.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4.25" customHeight="1" x14ac:dyDescent="0.35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4.25" customHeight="1" x14ac:dyDescent="0.3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4.25" customHeight="1" x14ac:dyDescent="0.35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4.25" customHeight="1" x14ac:dyDescent="0.35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4.25" customHeight="1" x14ac:dyDescent="0.35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4.25" customHeight="1" x14ac:dyDescent="0.35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4.25" customHeight="1" x14ac:dyDescent="0.35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4.25" customHeight="1" x14ac:dyDescent="0.35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4.25" customHeight="1" x14ac:dyDescent="0.35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4.25" customHeight="1" x14ac:dyDescent="0.3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4.25" customHeight="1" x14ac:dyDescent="0.35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4.25" customHeight="1" x14ac:dyDescent="0.35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4.25" customHeight="1" x14ac:dyDescent="0.35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4.25" customHeight="1" x14ac:dyDescent="0.35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4.25" customHeight="1" x14ac:dyDescent="0.35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4.25" customHeight="1" x14ac:dyDescent="0.35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4.25" customHeight="1" x14ac:dyDescent="0.35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4.25" customHeight="1" x14ac:dyDescent="0.35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4.25" customHeight="1" x14ac:dyDescent="0.35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4.25" customHeight="1" x14ac:dyDescent="0.3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4.25" customHeight="1" x14ac:dyDescent="0.35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4.25" customHeight="1" x14ac:dyDescent="0.35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4.25" customHeight="1" x14ac:dyDescent="0.3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4.25" customHeight="1" x14ac:dyDescent="0.35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4.25" customHeight="1" x14ac:dyDescent="0.35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4.25" customHeight="1" x14ac:dyDescent="0.35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4.25" customHeight="1" x14ac:dyDescent="0.35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4.25" customHeight="1" x14ac:dyDescent="0.3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4.25" customHeight="1" x14ac:dyDescent="0.35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4.25" customHeight="1" x14ac:dyDescent="0.3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4.25" customHeight="1" x14ac:dyDescent="0.35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4.25" customHeight="1" x14ac:dyDescent="0.35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4.25" customHeight="1" x14ac:dyDescent="0.3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4.25" customHeight="1" x14ac:dyDescent="0.3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4.25" customHeight="1" x14ac:dyDescent="0.35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4.25" customHeight="1" x14ac:dyDescent="0.3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4.25" customHeight="1" x14ac:dyDescent="0.3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4.25" customHeight="1" x14ac:dyDescent="0.3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4.25" customHeight="1" x14ac:dyDescent="0.3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4.25" customHeight="1" x14ac:dyDescent="0.3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4.25" customHeight="1" x14ac:dyDescent="0.3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4.25" customHeight="1" x14ac:dyDescent="0.35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4.25" customHeight="1" x14ac:dyDescent="0.35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4.25" customHeight="1" x14ac:dyDescent="0.35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4.25" customHeight="1" x14ac:dyDescent="0.35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4.25" customHeight="1" x14ac:dyDescent="0.3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4.25" customHeight="1" x14ac:dyDescent="0.35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4.25" customHeight="1" x14ac:dyDescent="0.35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4.25" customHeight="1" x14ac:dyDescent="0.35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4.25" customHeight="1" x14ac:dyDescent="0.3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4.25" customHeight="1" x14ac:dyDescent="0.3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4.25" customHeight="1" x14ac:dyDescent="0.3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4.25" customHeight="1" x14ac:dyDescent="0.3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4.25" customHeight="1" x14ac:dyDescent="0.3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4.25" customHeight="1" x14ac:dyDescent="0.35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4.25" customHeight="1" x14ac:dyDescent="0.35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4.25" customHeight="1" x14ac:dyDescent="0.35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4.25" customHeight="1" x14ac:dyDescent="0.3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4.25" customHeight="1" x14ac:dyDescent="0.35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4.25" customHeight="1" x14ac:dyDescent="0.3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4.25" customHeight="1" x14ac:dyDescent="0.35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4.25" customHeight="1" x14ac:dyDescent="0.35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4.25" customHeight="1" x14ac:dyDescent="0.35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4.25" customHeight="1" x14ac:dyDescent="0.35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4.25" customHeight="1" x14ac:dyDescent="0.35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4.25" customHeight="1" x14ac:dyDescent="0.35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4.25" customHeight="1" x14ac:dyDescent="0.35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4.25" customHeight="1" x14ac:dyDescent="0.35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4.25" customHeight="1" x14ac:dyDescent="0.35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4.25" customHeight="1" x14ac:dyDescent="0.3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4.25" customHeight="1" x14ac:dyDescent="0.35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4.25" customHeight="1" x14ac:dyDescent="0.35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4.25" customHeight="1" x14ac:dyDescent="0.35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4.25" customHeight="1" x14ac:dyDescent="0.35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4.25" customHeight="1" x14ac:dyDescent="0.35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4.25" customHeight="1" x14ac:dyDescent="0.35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4.25" customHeight="1" x14ac:dyDescent="0.35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4.25" customHeight="1" x14ac:dyDescent="0.35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4.25" customHeight="1" x14ac:dyDescent="0.35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4.25" customHeight="1" x14ac:dyDescent="0.3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4.25" customHeight="1" x14ac:dyDescent="0.35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4.25" customHeight="1" x14ac:dyDescent="0.35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4.25" customHeight="1" x14ac:dyDescent="0.35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4.25" customHeight="1" x14ac:dyDescent="0.3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4.25" customHeight="1" x14ac:dyDescent="0.3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4.25" customHeight="1" x14ac:dyDescent="0.35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4.25" customHeight="1" x14ac:dyDescent="0.35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4.25" customHeight="1" x14ac:dyDescent="0.35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4.25" customHeight="1" x14ac:dyDescent="0.3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4.25" customHeight="1" x14ac:dyDescent="0.3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4.25" customHeight="1" x14ac:dyDescent="0.3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4.25" customHeight="1" x14ac:dyDescent="0.3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4.25" customHeight="1" x14ac:dyDescent="0.3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4.25" customHeight="1" x14ac:dyDescent="0.35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4.25" customHeight="1" x14ac:dyDescent="0.35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4.25" customHeight="1" x14ac:dyDescent="0.35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4.25" customHeight="1" x14ac:dyDescent="0.3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4.25" customHeight="1" x14ac:dyDescent="0.35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4.25" customHeight="1" x14ac:dyDescent="0.35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4.25" customHeight="1" x14ac:dyDescent="0.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4.25" customHeight="1" x14ac:dyDescent="0.35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4.25" customHeight="1" x14ac:dyDescent="0.35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4.25" customHeight="1" x14ac:dyDescent="0.35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4.25" customHeight="1" x14ac:dyDescent="0.35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4.25" customHeight="1" x14ac:dyDescent="0.35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4.25" customHeight="1" x14ac:dyDescent="0.35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4.25" customHeight="1" x14ac:dyDescent="0.35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4.25" customHeight="1" x14ac:dyDescent="0.35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4.25" customHeight="1" x14ac:dyDescent="0.35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4.25" customHeight="1" x14ac:dyDescent="0.3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4.25" customHeight="1" x14ac:dyDescent="0.35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4.25" customHeight="1" x14ac:dyDescent="0.35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4.25" customHeight="1" x14ac:dyDescent="0.35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4.25" customHeight="1" x14ac:dyDescent="0.35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4.25" customHeight="1" x14ac:dyDescent="0.35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4.25" customHeight="1" x14ac:dyDescent="0.35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4.25" customHeight="1" x14ac:dyDescent="0.3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4.25" customHeight="1" x14ac:dyDescent="0.35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4.25" customHeight="1" x14ac:dyDescent="0.3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ht="14.25" customHeight="1" x14ac:dyDescent="0.3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ht="14.25" customHeight="1" x14ac:dyDescent="0.35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ht="14.25" customHeight="1" x14ac:dyDescent="0.35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ht="14.25" customHeight="1" x14ac:dyDescent="0.3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ht="14.25" customHeight="1" x14ac:dyDescent="0.3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ht="14.25" customHeight="1" x14ac:dyDescent="0.3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ht="14.25" customHeight="1" x14ac:dyDescent="0.3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ht="14.25" customHeight="1" x14ac:dyDescent="0.3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ht="14.25" customHeight="1" x14ac:dyDescent="0.3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ht="14.25" customHeight="1" x14ac:dyDescent="0.3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ht="14.25" customHeight="1" x14ac:dyDescent="0.3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ht="14.25" customHeight="1" x14ac:dyDescent="0.3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ht="14.25" customHeight="1" x14ac:dyDescent="0.35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ht="14.25" customHeight="1" x14ac:dyDescent="0.35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ht="14.25" customHeight="1" x14ac:dyDescent="0.35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ht="14.25" customHeight="1" x14ac:dyDescent="0.35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ht="14.25" customHeight="1" x14ac:dyDescent="0.35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ht="14.25" customHeight="1" x14ac:dyDescent="0.35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ht="14.25" customHeight="1" x14ac:dyDescent="0.35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ht="14.25" customHeight="1" x14ac:dyDescent="0.35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ht="14.25" customHeight="1" x14ac:dyDescent="0.3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14.25" customHeight="1" x14ac:dyDescent="0.35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14.25" customHeight="1" x14ac:dyDescent="0.35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14.25" customHeight="1" x14ac:dyDescent="0.35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14.25" customHeight="1" x14ac:dyDescent="0.35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14.25" customHeight="1" x14ac:dyDescent="0.35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14.25" customHeight="1" x14ac:dyDescent="0.35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14.25" customHeight="1" x14ac:dyDescent="0.35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14.25" customHeight="1" x14ac:dyDescent="0.35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14.25" customHeight="1" x14ac:dyDescent="0.35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14.25" customHeight="1" x14ac:dyDescent="0.3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14.25" customHeight="1" x14ac:dyDescent="0.35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14.25" customHeight="1" x14ac:dyDescent="0.35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14.25" customHeight="1" x14ac:dyDescent="0.35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14.25" customHeight="1" x14ac:dyDescent="0.35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14.25" customHeight="1" x14ac:dyDescent="0.35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14.25" customHeight="1" x14ac:dyDescent="0.35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14.25" customHeight="1" x14ac:dyDescent="0.35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14.25" customHeight="1" x14ac:dyDescent="0.35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14.25" customHeight="1" x14ac:dyDescent="0.35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14.25" customHeight="1" x14ac:dyDescent="0.3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14.25" customHeight="1" x14ac:dyDescent="0.35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14.25" customHeight="1" x14ac:dyDescent="0.35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14.25" customHeight="1" x14ac:dyDescent="0.3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14.25" customHeight="1" x14ac:dyDescent="0.3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14.25" customHeight="1" x14ac:dyDescent="0.35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14.25" customHeight="1" x14ac:dyDescent="0.35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14.25" customHeight="1" x14ac:dyDescent="0.35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ht="14.25" customHeight="1" x14ac:dyDescent="0.35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14.25" customHeight="1" x14ac:dyDescent="0.35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14.25" customHeight="1" x14ac:dyDescent="0.3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14.25" customHeight="1" x14ac:dyDescent="0.35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14.25" customHeight="1" x14ac:dyDescent="0.3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14.25" customHeight="1" x14ac:dyDescent="0.35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14.25" customHeight="1" x14ac:dyDescent="0.35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14.25" customHeight="1" x14ac:dyDescent="0.35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14.25" customHeight="1" x14ac:dyDescent="0.35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14.25" customHeight="1" x14ac:dyDescent="0.35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14.25" customHeight="1" x14ac:dyDescent="0.35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14.25" customHeight="1" x14ac:dyDescent="0.35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14.25" customHeight="1" x14ac:dyDescent="0.3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14.25" customHeight="1" x14ac:dyDescent="0.35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14.25" customHeight="1" x14ac:dyDescent="0.35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14.25" customHeight="1" x14ac:dyDescent="0.35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14.25" customHeight="1" x14ac:dyDescent="0.35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14.25" customHeight="1" x14ac:dyDescent="0.35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14.25" customHeight="1" x14ac:dyDescent="0.35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14.25" customHeight="1" x14ac:dyDescent="0.35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14.25" customHeight="1" x14ac:dyDescent="0.35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14.25" customHeight="1" x14ac:dyDescent="0.35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14.25" customHeight="1" x14ac:dyDescent="0.3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14.25" customHeight="1" x14ac:dyDescent="0.35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14.25" customHeight="1" x14ac:dyDescent="0.35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14.25" customHeight="1" x14ac:dyDescent="0.35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14.25" customHeight="1" x14ac:dyDescent="0.35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14.25" customHeight="1" x14ac:dyDescent="0.35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14.25" customHeight="1" x14ac:dyDescent="0.35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14.25" customHeight="1" x14ac:dyDescent="0.35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4.25" customHeight="1" x14ac:dyDescent="0.35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4.25" customHeight="1" x14ac:dyDescent="0.35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4.25" customHeight="1" x14ac:dyDescent="0.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4.25" customHeight="1" x14ac:dyDescent="0.35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14.25" customHeight="1" x14ac:dyDescent="0.35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4.25" customHeight="1" x14ac:dyDescent="0.35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4.25" customHeight="1" x14ac:dyDescent="0.35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4.25" customHeight="1" x14ac:dyDescent="0.35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4.25" customHeight="1" x14ac:dyDescent="0.35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14.25" customHeight="1" x14ac:dyDescent="0.35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14.25" customHeight="1" x14ac:dyDescent="0.35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14.25" customHeight="1" x14ac:dyDescent="0.35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14.25" customHeight="1" x14ac:dyDescent="0.3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14.25" customHeight="1" x14ac:dyDescent="0.35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14.25" customHeight="1" x14ac:dyDescent="0.35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14.25" customHeight="1" x14ac:dyDescent="0.35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14.25" customHeight="1" x14ac:dyDescent="0.35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14.25" customHeight="1" x14ac:dyDescent="0.35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14.25" customHeight="1" x14ac:dyDescent="0.35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14.25" customHeight="1" x14ac:dyDescent="0.35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14.25" customHeight="1" x14ac:dyDescent="0.35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14.25" customHeight="1" x14ac:dyDescent="0.35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14.25" customHeight="1" x14ac:dyDescent="0.3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14.25" customHeight="1" x14ac:dyDescent="0.35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14.25" customHeight="1" x14ac:dyDescent="0.35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14.25" customHeight="1" x14ac:dyDescent="0.35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14.25" customHeight="1" x14ac:dyDescent="0.35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14.25" customHeight="1" x14ac:dyDescent="0.35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14.25" customHeight="1" x14ac:dyDescent="0.35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14.25" customHeight="1" x14ac:dyDescent="0.35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14.25" customHeight="1" x14ac:dyDescent="0.35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14.25" customHeight="1" x14ac:dyDescent="0.35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14.25" customHeight="1" x14ac:dyDescent="0.3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14.25" customHeight="1" x14ac:dyDescent="0.35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14.25" customHeight="1" x14ac:dyDescent="0.35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14.25" customHeight="1" x14ac:dyDescent="0.35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14.25" customHeight="1" x14ac:dyDescent="0.35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14.25" customHeight="1" x14ac:dyDescent="0.35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14.25" customHeight="1" x14ac:dyDescent="0.35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14.25" customHeight="1" x14ac:dyDescent="0.35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14.25" customHeight="1" x14ac:dyDescent="0.35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14.25" customHeight="1" x14ac:dyDescent="0.35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14.25" customHeight="1" x14ac:dyDescent="0.3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14.25" customHeight="1" x14ac:dyDescent="0.35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14.25" customHeight="1" x14ac:dyDescent="0.35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14.25" customHeight="1" x14ac:dyDescent="0.35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14.25" customHeight="1" x14ac:dyDescent="0.35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14.25" customHeight="1" x14ac:dyDescent="0.35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14.25" customHeight="1" x14ac:dyDescent="0.35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14.25" customHeight="1" x14ac:dyDescent="0.35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14.25" customHeight="1" x14ac:dyDescent="0.35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14.25" customHeight="1" x14ac:dyDescent="0.35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14.25" customHeight="1" x14ac:dyDescent="0.3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14.25" customHeight="1" x14ac:dyDescent="0.35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14.25" customHeight="1" x14ac:dyDescent="0.35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14.25" customHeight="1" x14ac:dyDescent="0.35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14.25" customHeight="1" x14ac:dyDescent="0.35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14.25" customHeight="1" x14ac:dyDescent="0.35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14.25" customHeight="1" x14ac:dyDescent="0.35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14.25" customHeight="1" x14ac:dyDescent="0.35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14.25" customHeight="1" x14ac:dyDescent="0.35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14.25" customHeight="1" x14ac:dyDescent="0.35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14.25" customHeight="1" x14ac:dyDescent="0.3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14.25" customHeight="1" x14ac:dyDescent="0.35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14.25" customHeight="1" x14ac:dyDescent="0.35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14.25" customHeight="1" x14ac:dyDescent="0.35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14.25" customHeight="1" x14ac:dyDescent="0.35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14.25" customHeight="1" x14ac:dyDescent="0.35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14.25" customHeight="1" x14ac:dyDescent="0.35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14.25" customHeight="1" x14ac:dyDescent="0.35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14.25" customHeight="1" x14ac:dyDescent="0.35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14.25" customHeight="1" x14ac:dyDescent="0.35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14.25" customHeight="1" x14ac:dyDescent="0.3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14.25" customHeight="1" x14ac:dyDescent="0.35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14.25" customHeight="1" x14ac:dyDescent="0.35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14.25" customHeight="1" x14ac:dyDescent="0.35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14.25" customHeight="1" x14ac:dyDescent="0.35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14.25" customHeight="1" x14ac:dyDescent="0.35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14.25" customHeight="1" x14ac:dyDescent="0.35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14.25" customHeight="1" x14ac:dyDescent="0.35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14.25" customHeight="1" x14ac:dyDescent="0.35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14.25" customHeight="1" x14ac:dyDescent="0.35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14.25" customHeight="1" x14ac:dyDescent="0.3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14.25" customHeight="1" x14ac:dyDescent="0.35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14.25" customHeight="1" x14ac:dyDescent="0.35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14.25" customHeight="1" x14ac:dyDescent="0.35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14.25" customHeight="1" x14ac:dyDescent="0.35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14.25" customHeight="1" x14ac:dyDescent="0.35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14.25" customHeight="1" x14ac:dyDescent="0.35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14.25" customHeight="1" x14ac:dyDescent="0.35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14.25" customHeight="1" x14ac:dyDescent="0.35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14.25" customHeight="1" x14ac:dyDescent="0.35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14.25" customHeight="1" x14ac:dyDescent="0.3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14.25" customHeight="1" x14ac:dyDescent="0.35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14.25" customHeight="1" x14ac:dyDescent="0.35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14.25" customHeight="1" x14ac:dyDescent="0.35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14.25" customHeight="1" x14ac:dyDescent="0.35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14.25" customHeight="1" x14ac:dyDescent="0.35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14.25" customHeight="1" x14ac:dyDescent="0.35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14.25" customHeight="1" x14ac:dyDescent="0.35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14.25" customHeight="1" x14ac:dyDescent="0.35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14.25" customHeight="1" x14ac:dyDescent="0.35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14.25" customHeight="1" x14ac:dyDescent="0.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14.25" customHeight="1" x14ac:dyDescent="0.35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14.25" customHeight="1" x14ac:dyDescent="0.35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14.25" customHeight="1" x14ac:dyDescent="0.35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14.25" customHeight="1" x14ac:dyDescent="0.35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14.25" customHeight="1" x14ac:dyDescent="0.35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14.25" customHeight="1" x14ac:dyDescent="0.35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14.25" customHeight="1" x14ac:dyDescent="0.35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14.25" customHeight="1" x14ac:dyDescent="0.35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14.25" customHeight="1" x14ac:dyDescent="0.35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14.25" customHeight="1" x14ac:dyDescent="0.3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14.25" customHeight="1" x14ac:dyDescent="0.35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14.25" customHeight="1" x14ac:dyDescent="0.35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14.25" customHeight="1" x14ac:dyDescent="0.35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14.25" customHeight="1" x14ac:dyDescent="0.35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14.25" customHeight="1" x14ac:dyDescent="0.35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14.25" customHeight="1" x14ac:dyDescent="0.35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14.25" customHeight="1" x14ac:dyDescent="0.35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14.25" customHeight="1" x14ac:dyDescent="0.35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14.25" customHeight="1" x14ac:dyDescent="0.35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14.25" customHeight="1" x14ac:dyDescent="0.3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14.25" customHeight="1" x14ac:dyDescent="0.35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14.25" customHeight="1" x14ac:dyDescent="0.35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14.25" customHeight="1" x14ac:dyDescent="0.35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14.25" customHeight="1" x14ac:dyDescent="0.35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14.25" customHeight="1" x14ac:dyDescent="0.35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14.25" customHeight="1" x14ac:dyDescent="0.35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14.25" customHeight="1" x14ac:dyDescent="0.35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4.25" customHeight="1" x14ac:dyDescent="0.35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4.25" customHeight="1" x14ac:dyDescent="0.35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4.25" customHeight="1" x14ac:dyDescent="0.3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4.25" customHeight="1" x14ac:dyDescent="0.35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14.25" customHeight="1" x14ac:dyDescent="0.35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14.25" customHeight="1" x14ac:dyDescent="0.35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14.25" customHeight="1" x14ac:dyDescent="0.35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14.25" customHeight="1" x14ac:dyDescent="0.35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14.25" customHeight="1" x14ac:dyDescent="0.35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14.25" customHeight="1" x14ac:dyDescent="0.35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14.25" customHeight="1" x14ac:dyDescent="0.35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14.25" customHeight="1" x14ac:dyDescent="0.35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14.25" customHeight="1" x14ac:dyDescent="0.3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14.25" customHeight="1" x14ac:dyDescent="0.35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14.25" customHeight="1" x14ac:dyDescent="0.35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4.25" customHeight="1" x14ac:dyDescent="0.35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4.25" customHeight="1" x14ac:dyDescent="0.35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4.25" customHeight="1" x14ac:dyDescent="0.35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4.25" customHeight="1" x14ac:dyDescent="0.35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14.25" customHeight="1" x14ac:dyDescent="0.35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14.25" customHeight="1" x14ac:dyDescent="0.35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14.25" customHeight="1" x14ac:dyDescent="0.35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14.25" customHeight="1" x14ac:dyDescent="0.3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14.25" customHeight="1" x14ac:dyDescent="0.35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14.25" customHeight="1" x14ac:dyDescent="0.35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14.25" customHeight="1" x14ac:dyDescent="0.35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14.25" customHeight="1" x14ac:dyDescent="0.35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14.25" customHeight="1" x14ac:dyDescent="0.35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14.25" customHeight="1" x14ac:dyDescent="0.35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14.25" customHeight="1" x14ac:dyDescent="0.35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14.25" customHeight="1" x14ac:dyDescent="0.35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14.25" customHeight="1" x14ac:dyDescent="0.35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14.25" customHeight="1" x14ac:dyDescent="0.3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14.25" customHeight="1" x14ac:dyDescent="0.35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14.25" customHeight="1" x14ac:dyDescent="0.35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14.25" customHeight="1" x14ac:dyDescent="0.35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14.25" customHeight="1" x14ac:dyDescent="0.35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14.25" customHeight="1" x14ac:dyDescent="0.35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14.25" customHeight="1" x14ac:dyDescent="0.35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14.25" customHeight="1" x14ac:dyDescent="0.35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14.25" customHeight="1" x14ac:dyDescent="0.35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14.25" customHeight="1" x14ac:dyDescent="0.35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14.25" customHeight="1" x14ac:dyDescent="0.3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14.25" customHeight="1" x14ac:dyDescent="0.35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14.25" customHeight="1" x14ac:dyDescent="0.35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14.25" customHeight="1" x14ac:dyDescent="0.35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14.25" customHeight="1" x14ac:dyDescent="0.35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14.25" customHeight="1" x14ac:dyDescent="0.35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14.25" customHeight="1" x14ac:dyDescent="0.35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14.25" customHeight="1" x14ac:dyDescent="0.35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14.25" customHeight="1" x14ac:dyDescent="0.35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14.25" customHeight="1" x14ac:dyDescent="0.35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14.25" customHeight="1" x14ac:dyDescent="0.3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14.25" customHeight="1" x14ac:dyDescent="0.35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14.25" customHeight="1" x14ac:dyDescent="0.35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14.25" customHeight="1" x14ac:dyDescent="0.35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14.25" customHeight="1" x14ac:dyDescent="0.35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14.25" customHeight="1" x14ac:dyDescent="0.35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14.25" customHeight="1" x14ac:dyDescent="0.35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14.25" customHeight="1" x14ac:dyDescent="0.35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14.25" customHeight="1" x14ac:dyDescent="0.35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14.25" customHeight="1" x14ac:dyDescent="0.35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14.25" customHeight="1" x14ac:dyDescent="0.3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14.25" customHeight="1" x14ac:dyDescent="0.35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14.25" customHeight="1" x14ac:dyDescent="0.35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14.25" customHeight="1" x14ac:dyDescent="0.35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14.25" customHeight="1" x14ac:dyDescent="0.35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14.25" customHeight="1" x14ac:dyDescent="0.35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14.25" customHeight="1" x14ac:dyDescent="0.35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14.25" customHeight="1" x14ac:dyDescent="0.35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14.25" customHeight="1" x14ac:dyDescent="0.35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14.25" customHeight="1" x14ac:dyDescent="0.35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14.25" customHeight="1" x14ac:dyDescent="0.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14.25" customHeight="1" x14ac:dyDescent="0.35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14.25" customHeight="1" x14ac:dyDescent="0.35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14.25" customHeight="1" x14ac:dyDescent="0.35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14.25" customHeight="1" x14ac:dyDescent="0.35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14.25" customHeight="1" x14ac:dyDescent="0.35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14.25" customHeight="1" x14ac:dyDescent="0.35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14.25" customHeight="1" x14ac:dyDescent="0.35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14.25" customHeight="1" x14ac:dyDescent="0.35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14.25" customHeight="1" x14ac:dyDescent="0.35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14.25" customHeight="1" x14ac:dyDescent="0.3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14.25" customHeight="1" x14ac:dyDescent="0.35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14.25" customHeight="1" x14ac:dyDescent="0.35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14.25" customHeight="1" x14ac:dyDescent="0.35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14.25" customHeight="1" x14ac:dyDescent="0.35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14.25" customHeight="1" x14ac:dyDescent="0.35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14.25" customHeight="1" x14ac:dyDescent="0.35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14.25" customHeight="1" x14ac:dyDescent="0.35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14.25" customHeight="1" x14ac:dyDescent="0.35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14.25" customHeight="1" x14ac:dyDescent="0.35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14.25" customHeight="1" x14ac:dyDescent="0.3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14.25" customHeight="1" x14ac:dyDescent="0.35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14.25" customHeight="1" x14ac:dyDescent="0.35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14.25" customHeight="1" x14ac:dyDescent="0.35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14.25" customHeight="1" x14ac:dyDescent="0.35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14.25" customHeight="1" x14ac:dyDescent="0.35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14.25" customHeight="1" x14ac:dyDescent="0.35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14.25" customHeight="1" x14ac:dyDescent="0.35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14.25" customHeight="1" x14ac:dyDescent="0.35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14.25" customHeight="1" x14ac:dyDescent="0.35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14.25" customHeight="1" x14ac:dyDescent="0.3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14.25" customHeight="1" x14ac:dyDescent="0.35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14.25" customHeight="1" x14ac:dyDescent="0.35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14.25" customHeight="1" x14ac:dyDescent="0.35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14.25" customHeight="1" x14ac:dyDescent="0.35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14.25" customHeight="1" x14ac:dyDescent="0.35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14.25" customHeight="1" x14ac:dyDescent="0.35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14.25" customHeight="1" x14ac:dyDescent="0.35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14.25" customHeight="1" x14ac:dyDescent="0.35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14.25" customHeight="1" x14ac:dyDescent="0.35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14.25" customHeight="1" x14ac:dyDescent="0.3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14.25" customHeight="1" x14ac:dyDescent="0.35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14.25" customHeight="1" x14ac:dyDescent="0.35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14.25" customHeight="1" x14ac:dyDescent="0.35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14.25" customHeight="1" x14ac:dyDescent="0.35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14.25" customHeight="1" x14ac:dyDescent="0.35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14.25" customHeight="1" x14ac:dyDescent="0.35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14.25" customHeight="1" x14ac:dyDescent="0.35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14.25" customHeight="1" x14ac:dyDescent="0.35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14.25" customHeight="1" x14ac:dyDescent="0.35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14.25" customHeight="1" x14ac:dyDescent="0.3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14.25" customHeight="1" x14ac:dyDescent="0.35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14.25" customHeight="1" x14ac:dyDescent="0.35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14.25" customHeight="1" x14ac:dyDescent="0.35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14.25" customHeight="1" x14ac:dyDescent="0.35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14.25" customHeight="1" x14ac:dyDescent="0.35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14.25" customHeight="1" x14ac:dyDescent="0.35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14.25" customHeight="1" x14ac:dyDescent="0.35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14.25" customHeight="1" x14ac:dyDescent="0.35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14.25" customHeight="1" x14ac:dyDescent="0.35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14.25" customHeight="1" x14ac:dyDescent="0.3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14.25" customHeight="1" x14ac:dyDescent="0.35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14.25" customHeight="1" x14ac:dyDescent="0.35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14.25" customHeight="1" x14ac:dyDescent="0.35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14.25" customHeight="1" x14ac:dyDescent="0.35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14.25" customHeight="1" x14ac:dyDescent="0.35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14.25" customHeight="1" x14ac:dyDescent="0.35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14.25" customHeight="1" x14ac:dyDescent="0.35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14.25" customHeight="1" x14ac:dyDescent="0.35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14.25" customHeight="1" x14ac:dyDescent="0.35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14.25" customHeight="1" x14ac:dyDescent="0.3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14.25" customHeight="1" x14ac:dyDescent="0.35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14.25" customHeight="1" x14ac:dyDescent="0.35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14.25" customHeight="1" x14ac:dyDescent="0.35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14.25" customHeight="1" x14ac:dyDescent="0.35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14.25" customHeight="1" x14ac:dyDescent="0.35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14.25" customHeight="1" x14ac:dyDescent="0.35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14.25" customHeight="1" x14ac:dyDescent="0.35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14.25" customHeight="1" x14ac:dyDescent="0.35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14.25" customHeight="1" x14ac:dyDescent="0.35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14.25" customHeight="1" x14ac:dyDescent="0.3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14.25" customHeight="1" x14ac:dyDescent="0.35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14.25" customHeight="1" x14ac:dyDescent="0.35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14.25" customHeight="1" x14ac:dyDescent="0.35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14.25" customHeight="1" x14ac:dyDescent="0.35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14.25" customHeight="1" x14ac:dyDescent="0.35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14.25" customHeight="1" x14ac:dyDescent="0.35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14.25" customHeight="1" x14ac:dyDescent="0.35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14.25" customHeight="1" x14ac:dyDescent="0.35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14.25" customHeight="1" x14ac:dyDescent="0.35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14.25" customHeight="1" x14ac:dyDescent="0.3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14.25" customHeight="1" x14ac:dyDescent="0.35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14.25" customHeight="1" x14ac:dyDescent="0.35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14.25" customHeight="1" x14ac:dyDescent="0.35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14.25" customHeight="1" x14ac:dyDescent="0.35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14.25" customHeight="1" x14ac:dyDescent="0.35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14.25" customHeight="1" x14ac:dyDescent="0.35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14.25" customHeight="1" x14ac:dyDescent="0.35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14.25" customHeight="1" x14ac:dyDescent="0.35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14.25" customHeight="1" x14ac:dyDescent="0.35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14.25" customHeight="1" x14ac:dyDescent="0.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14.25" customHeight="1" x14ac:dyDescent="0.35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14.25" customHeight="1" x14ac:dyDescent="0.35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14.25" customHeight="1" x14ac:dyDescent="0.35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14.25" customHeight="1" x14ac:dyDescent="0.35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14.25" customHeight="1" x14ac:dyDescent="0.35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14.25" customHeight="1" x14ac:dyDescent="0.35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14.25" customHeight="1" x14ac:dyDescent="0.35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14.25" customHeight="1" x14ac:dyDescent="0.35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14.25" customHeight="1" x14ac:dyDescent="0.35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14.25" customHeight="1" x14ac:dyDescent="0.3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14.25" customHeight="1" x14ac:dyDescent="0.35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14.25" customHeight="1" x14ac:dyDescent="0.35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14.25" customHeight="1" x14ac:dyDescent="0.35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14.25" customHeight="1" x14ac:dyDescent="0.35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14.25" customHeight="1" x14ac:dyDescent="0.35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14.25" customHeight="1" x14ac:dyDescent="0.35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14.25" customHeight="1" x14ac:dyDescent="0.35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14.25" customHeight="1" x14ac:dyDescent="0.35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14.25" customHeight="1" x14ac:dyDescent="0.35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14.25" customHeight="1" x14ac:dyDescent="0.3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14.25" customHeight="1" x14ac:dyDescent="0.35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14.25" customHeight="1" x14ac:dyDescent="0.35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14.25" customHeight="1" x14ac:dyDescent="0.35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14.25" customHeight="1" x14ac:dyDescent="0.35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14.25" customHeight="1" x14ac:dyDescent="0.35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14.25" customHeight="1" x14ac:dyDescent="0.35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14.25" customHeight="1" x14ac:dyDescent="0.35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14.25" customHeight="1" x14ac:dyDescent="0.35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14.25" customHeight="1" x14ac:dyDescent="0.35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14.25" customHeight="1" x14ac:dyDescent="0.3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14.25" customHeight="1" x14ac:dyDescent="0.35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14.25" customHeight="1" x14ac:dyDescent="0.35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14.25" customHeight="1" x14ac:dyDescent="0.35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14.25" customHeight="1" x14ac:dyDescent="0.35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14.25" customHeight="1" x14ac:dyDescent="0.35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14.25" customHeight="1" x14ac:dyDescent="0.35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14.25" customHeight="1" x14ac:dyDescent="0.35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14.25" customHeight="1" x14ac:dyDescent="0.35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14.25" customHeight="1" x14ac:dyDescent="0.35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14.25" customHeight="1" x14ac:dyDescent="0.3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14.25" customHeight="1" x14ac:dyDescent="0.35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14.25" customHeight="1" x14ac:dyDescent="0.35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14.25" customHeight="1" x14ac:dyDescent="0.35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14.25" customHeight="1" x14ac:dyDescent="0.35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14.25" customHeight="1" x14ac:dyDescent="0.35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14.25" customHeight="1" x14ac:dyDescent="0.35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14.25" customHeight="1" x14ac:dyDescent="0.35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14.25" customHeight="1" x14ac:dyDescent="0.35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14.25" customHeight="1" x14ac:dyDescent="0.35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14.25" customHeight="1" x14ac:dyDescent="0.3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14.25" customHeight="1" x14ac:dyDescent="0.35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14.25" customHeight="1" x14ac:dyDescent="0.35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14.25" customHeight="1" x14ac:dyDescent="0.35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14.25" customHeight="1" x14ac:dyDescent="0.35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14.25" customHeight="1" x14ac:dyDescent="0.35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14.25" customHeight="1" x14ac:dyDescent="0.35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14.25" customHeight="1" x14ac:dyDescent="0.35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14.25" customHeight="1" x14ac:dyDescent="0.35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14.25" customHeight="1" x14ac:dyDescent="0.35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14.25" customHeight="1" x14ac:dyDescent="0.3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14.25" customHeight="1" x14ac:dyDescent="0.35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14.25" customHeight="1" x14ac:dyDescent="0.35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14.25" customHeight="1" x14ac:dyDescent="0.35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14.25" customHeight="1" x14ac:dyDescent="0.35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14.25" customHeight="1" x14ac:dyDescent="0.35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14.25" customHeight="1" x14ac:dyDescent="0.35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14.25" customHeight="1" x14ac:dyDescent="0.35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14.25" customHeight="1" x14ac:dyDescent="0.35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14.25" customHeight="1" x14ac:dyDescent="0.35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14.25" customHeight="1" x14ac:dyDescent="0.3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14.25" customHeight="1" x14ac:dyDescent="0.35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14.25" customHeight="1" x14ac:dyDescent="0.35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14.25" customHeight="1" x14ac:dyDescent="0.35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14.25" customHeight="1" x14ac:dyDescent="0.35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14.25" customHeight="1" x14ac:dyDescent="0.35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14.25" customHeight="1" x14ac:dyDescent="0.35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14.25" customHeight="1" x14ac:dyDescent="0.35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14.25" customHeight="1" x14ac:dyDescent="0.35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14.25" customHeight="1" x14ac:dyDescent="0.35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14.25" customHeight="1" x14ac:dyDescent="0.3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14.25" customHeight="1" x14ac:dyDescent="0.35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14.25" customHeight="1" x14ac:dyDescent="0.35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14.25" customHeight="1" x14ac:dyDescent="0.35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14.25" customHeight="1" x14ac:dyDescent="0.35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14.25" customHeight="1" x14ac:dyDescent="0.35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14.25" customHeight="1" x14ac:dyDescent="0.35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14.25" customHeight="1" x14ac:dyDescent="0.35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14.25" customHeight="1" x14ac:dyDescent="0.35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14.25" customHeight="1" x14ac:dyDescent="0.35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14.25" customHeight="1" x14ac:dyDescent="0.3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14.25" customHeight="1" x14ac:dyDescent="0.35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14.25" customHeight="1" x14ac:dyDescent="0.35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4.25" customHeight="1" x14ac:dyDescent="0.35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4.25" customHeight="1" x14ac:dyDescent="0.35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4.25" customHeight="1" x14ac:dyDescent="0.35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4.25" customHeight="1" x14ac:dyDescent="0.35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14.25" customHeight="1" x14ac:dyDescent="0.35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14.25" customHeight="1" x14ac:dyDescent="0.35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14.25" customHeight="1" x14ac:dyDescent="0.35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14.25" customHeight="1" x14ac:dyDescent="0.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14.25" customHeight="1" x14ac:dyDescent="0.35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14.25" customHeight="1" x14ac:dyDescent="0.35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14.25" customHeight="1" x14ac:dyDescent="0.35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14.25" customHeight="1" x14ac:dyDescent="0.35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14.25" customHeight="1" x14ac:dyDescent="0.35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14.25" customHeight="1" x14ac:dyDescent="0.35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14.25" customHeight="1" x14ac:dyDescent="0.35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14.25" customHeight="1" x14ac:dyDescent="0.35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14.25" customHeight="1" x14ac:dyDescent="0.35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14.25" customHeight="1" x14ac:dyDescent="0.3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14.25" customHeight="1" x14ac:dyDescent="0.35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14.25" customHeight="1" x14ac:dyDescent="0.35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14.25" customHeight="1" x14ac:dyDescent="0.35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14.25" customHeight="1" x14ac:dyDescent="0.35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14.25" customHeight="1" x14ac:dyDescent="0.35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14.25" customHeight="1" x14ac:dyDescent="0.35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14.25" customHeight="1" x14ac:dyDescent="0.35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14.25" customHeight="1" x14ac:dyDescent="0.35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14.25" customHeight="1" x14ac:dyDescent="0.35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14.25" customHeight="1" x14ac:dyDescent="0.3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14.25" customHeight="1" x14ac:dyDescent="0.35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14.25" customHeight="1" x14ac:dyDescent="0.35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14.25" customHeight="1" x14ac:dyDescent="0.35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14.25" customHeight="1" x14ac:dyDescent="0.35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14.25" customHeight="1" x14ac:dyDescent="0.35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14.25" customHeight="1" x14ac:dyDescent="0.35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14.25" customHeight="1" x14ac:dyDescent="0.35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14.25" customHeight="1" x14ac:dyDescent="0.35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14.25" customHeight="1" x14ac:dyDescent="0.35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14.25" customHeight="1" x14ac:dyDescent="0.3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14.25" customHeight="1" x14ac:dyDescent="0.35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14.25" customHeight="1" x14ac:dyDescent="0.35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14.25" customHeight="1" x14ac:dyDescent="0.35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14.25" customHeight="1" x14ac:dyDescent="0.35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14.25" customHeight="1" x14ac:dyDescent="0.35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14.25" customHeight="1" x14ac:dyDescent="0.35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14.25" customHeight="1" x14ac:dyDescent="0.35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14.25" customHeight="1" x14ac:dyDescent="0.35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14.25" customHeight="1" x14ac:dyDescent="0.35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14.25" customHeight="1" x14ac:dyDescent="0.3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14.25" customHeight="1" x14ac:dyDescent="0.35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14.25" customHeight="1" x14ac:dyDescent="0.35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14.25" customHeight="1" x14ac:dyDescent="0.35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14.25" customHeight="1" x14ac:dyDescent="0.35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14.25" customHeight="1" x14ac:dyDescent="0.35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14.25" customHeight="1" x14ac:dyDescent="0.35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14.25" customHeight="1" x14ac:dyDescent="0.35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14.25" customHeight="1" x14ac:dyDescent="0.35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14.25" customHeight="1" x14ac:dyDescent="0.35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14.25" customHeight="1" x14ac:dyDescent="0.3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14.25" customHeight="1" x14ac:dyDescent="0.35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14.25" customHeight="1" x14ac:dyDescent="0.35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14.25" customHeight="1" x14ac:dyDescent="0.35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14.25" customHeight="1" x14ac:dyDescent="0.35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14.25" customHeight="1" x14ac:dyDescent="0.35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14.25" customHeight="1" x14ac:dyDescent="0.35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14.25" customHeight="1" x14ac:dyDescent="0.35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14.25" customHeight="1" x14ac:dyDescent="0.35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14.25" customHeight="1" x14ac:dyDescent="0.35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14.25" customHeight="1" x14ac:dyDescent="0.3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14.25" customHeight="1" x14ac:dyDescent="0.35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14.25" customHeight="1" x14ac:dyDescent="0.35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14.25" customHeight="1" x14ac:dyDescent="0.35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14.25" customHeight="1" x14ac:dyDescent="0.35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14.25" customHeight="1" x14ac:dyDescent="0.35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14.25" customHeight="1" x14ac:dyDescent="0.35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14.25" customHeight="1" x14ac:dyDescent="0.35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14.25" customHeight="1" x14ac:dyDescent="0.35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14.25" customHeight="1" x14ac:dyDescent="0.35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14.25" customHeight="1" x14ac:dyDescent="0.3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14.25" customHeight="1" x14ac:dyDescent="0.35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14.25" customHeight="1" x14ac:dyDescent="0.35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14.25" customHeight="1" x14ac:dyDescent="0.35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14.25" customHeight="1" x14ac:dyDescent="0.35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14.25" customHeight="1" x14ac:dyDescent="0.35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14.25" customHeight="1" x14ac:dyDescent="0.35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14.25" customHeight="1" x14ac:dyDescent="0.35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14.25" customHeight="1" x14ac:dyDescent="0.35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14.25" customHeight="1" x14ac:dyDescent="0.35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14.25" customHeight="1" x14ac:dyDescent="0.3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14.25" customHeight="1" x14ac:dyDescent="0.35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14.25" customHeight="1" x14ac:dyDescent="0.35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14.25" customHeight="1" x14ac:dyDescent="0.35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14.25" customHeight="1" x14ac:dyDescent="0.35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14.25" customHeight="1" x14ac:dyDescent="0.35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14.25" customHeight="1" x14ac:dyDescent="0.35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14.25" customHeight="1" x14ac:dyDescent="0.35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14.25" customHeight="1" x14ac:dyDescent="0.35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14.25" customHeight="1" x14ac:dyDescent="0.35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14.25" customHeight="1" x14ac:dyDescent="0.3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14.25" customHeight="1" x14ac:dyDescent="0.35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14.25" customHeight="1" x14ac:dyDescent="0.35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14.25" customHeight="1" x14ac:dyDescent="0.35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14.25" customHeight="1" x14ac:dyDescent="0.35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14.25" customHeight="1" x14ac:dyDescent="0.35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14.25" customHeight="1" x14ac:dyDescent="0.35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4.25" customHeight="1" x14ac:dyDescent="0.35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14.25" customHeight="1" x14ac:dyDescent="0.35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4.25" customHeight="1" x14ac:dyDescent="0.35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4.25" customHeight="1" x14ac:dyDescent="0.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4.25" customHeight="1" x14ac:dyDescent="0.35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4.25" customHeight="1" x14ac:dyDescent="0.35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4.25" customHeight="1" x14ac:dyDescent="0.35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4.25" customHeight="1" x14ac:dyDescent="0.35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4.25" customHeight="1" x14ac:dyDescent="0.35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4.25" customHeight="1" x14ac:dyDescent="0.35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4.25" customHeight="1" x14ac:dyDescent="0.35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4.25" customHeight="1" x14ac:dyDescent="0.35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4.25" customHeight="1" x14ac:dyDescent="0.35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4.25" customHeight="1" x14ac:dyDescent="0.3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4.25" customHeight="1" x14ac:dyDescent="0.35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4.25" customHeight="1" x14ac:dyDescent="0.35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4.25" customHeight="1" x14ac:dyDescent="0.35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4.25" customHeight="1" x14ac:dyDescent="0.35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4.25" customHeight="1" x14ac:dyDescent="0.35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4.25" customHeight="1" x14ac:dyDescent="0.35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4.25" customHeight="1" x14ac:dyDescent="0.35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4.25" customHeight="1" x14ac:dyDescent="0.35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4.25" customHeight="1" x14ac:dyDescent="0.35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4.25" customHeight="1" x14ac:dyDescent="0.3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4.25" customHeight="1" x14ac:dyDescent="0.35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4.25" customHeight="1" x14ac:dyDescent="0.35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4.25" customHeight="1" x14ac:dyDescent="0.35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4.25" customHeight="1" x14ac:dyDescent="0.35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4.25" customHeight="1" x14ac:dyDescent="0.35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4.25" customHeight="1" x14ac:dyDescent="0.35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4.25" customHeight="1" x14ac:dyDescent="0.35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4.25" customHeight="1" x14ac:dyDescent="0.35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4.25" customHeight="1" x14ac:dyDescent="0.35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4.25" customHeight="1" x14ac:dyDescent="0.3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4.25" customHeight="1" x14ac:dyDescent="0.35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4.25" customHeight="1" x14ac:dyDescent="0.35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4.25" customHeight="1" x14ac:dyDescent="0.35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4.25" customHeight="1" x14ac:dyDescent="0.35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4.25" customHeight="1" x14ac:dyDescent="0.35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4.25" customHeight="1" x14ac:dyDescent="0.35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4.25" customHeight="1" x14ac:dyDescent="0.35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4.25" customHeight="1" x14ac:dyDescent="0.35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4.25" customHeight="1" x14ac:dyDescent="0.35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4.25" customHeight="1" x14ac:dyDescent="0.3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4.25" customHeight="1" x14ac:dyDescent="0.35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4.25" customHeight="1" x14ac:dyDescent="0.35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4.25" customHeight="1" x14ac:dyDescent="0.35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4.25" customHeight="1" x14ac:dyDescent="0.35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4.25" customHeight="1" x14ac:dyDescent="0.35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4.25" customHeight="1" x14ac:dyDescent="0.35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4.25" customHeight="1" x14ac:dyDescent="0.35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4.25" customHeight="1" x14ac:dyDescent="0.35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4.25" customHeight="1" x14ac:dyDescent="0.35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4.25" customHeight="1" x14ac:dyDescent="0.3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4.25" customHeight="1" x14ac:dyDescent="0.35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4.25" customHeight="1" x14ac:dyDescent="0.35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4.25" customHeight="1" x14ac:dyDescent="0.35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4.25" customHeight="1" x14ac:dyDescent="0.35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4.25" customHeight="1" x14ac:dyDescent="0.35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4.25" customHeight="1" x14ac:dyDescent="0.35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4.25" customHeight="1" x14ac:dyDescent="0.35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4.25" customHeight="1" x14ac:dyDescent="0.35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4.25" customHeight="1" x14ac:dyDescent="0.35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4.25" customHeight="1" x14ac:dyDescent="0.3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4.25" customHeight="1" x14ac:dyDescent="0.35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4.25" customHeight="1" x14ac:dyDescent="0.35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4.25" customHeight="1" x14ac:dyDescent="0.35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4.25" customHeight="1" x14ac:dyDescent="0.35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4.25" customHeight="1" x14ac:dyDescent="0.35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4.25" customHeight="1" x14ac:dyDescent="0.35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4.25" customHeight="1" x14ac:dyDescent="0.35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4.25" customHeight="1" x14ac:dyDescent="0.35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4.25" customHeight="1" x14ac:dyDescent="0.35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4.25" customHeight="1" x14ac:dyDescent="0.3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4.25" customHeight="1" x14ac:dyDescent="0.35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4.25" customHeight="1" x14ac:dyDescent="0.35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4.25" customHeight="1" x14ac:dyDescent="0.35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4.25" customHeight="1" x14ac:dyDescent="0.35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4.25" customHeight="1" x14ac:dyDescent="0.35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4.25" customHeight="1" x14ac:dyDescent="0.35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4.25" customHeight="1" x14ac:dyDescent="0.35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4.25" customHeight="1" x14ac:dyDescent="0.35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4.25" customHeight="1" x14ac:dyDescent="0.35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4.25" customHeight="1" x14ac:dyDescent="0.3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4.25" customHeight="1" x14ac:dyDescent="0.35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4.25" customHeight="1" x14ac:dyDescent="0.35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4.25" customHeight="1" x14ac:dyDescent="0.35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4.25" customHeight="1" x14ac:dyDescent="0.35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4.25" customHeight="1" x14ac:dyDescent="0.35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4.25" customHeight="1" x14ac:dyDescent="0.35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4.25" customHeight="1" x14ac:dyDescent="0.35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4.25" customHeight="1" x14ac:dyDescent="0.35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4.25" customHeight="1" x14ac:dyDescent="0.35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4.25" customHeight="1" x14ac:dyDescent="0.3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4.25" customHeight="1" x14ac:dyDescent="0.35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4.25" customHeight="1" x14ac:dyDescent="0.35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4.25" customHeight="1" x14ac:dyDescent="0.35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4.25" customHeight="1" x14ac:dyDescent="0.35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4.25" customHeight="1" x14ac:dyDescent="0.35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4.25" customHeight="1" x14ac:dyDescent="0.35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4.25" customHeight="1" x14ac:dyDescent="0.35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4.25" customHeight="1" x14ac:dyDescent="0.35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4.25" customHeight="1" x14ac:dyDescent="0.35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4.25" customHeight="1" x14ac:dyDescent="0.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4.25" customHeight="1" x14ac:dyDescent="0.35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4.25" customHeight="1" x14ac:dyDescent="0.35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4.25" customHeight="1" x14ac:dyDescent="0.35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4.25" customHeight="1" x14ac:dyDescent="0.35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4.25" customHeight="1" x14ac:dyDescent="0.35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4.25" customHeight="1" x14ac:dyDescent="0.35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4.25" customHeight="1" x14ac:dyDescent="0.35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4.25" customHeight="1" x14ac:dyDescent="0.35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4.25" customHeight="1" x14ac:dyDescent="0.35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4.25" customHeight="1" x14ac:dyDescent="0.3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4.25" customHeight="1" x14ac:dyDescent="0.35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4.25" customHeight="1" x14ac:dyDescent="0.35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4.25" customHeight="1" x14ac:dyDescent="0.35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4.25" customHeight="1" x14ac:dyDescent="0.35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4.25" customHeight="1" x14ac:dyDescent="0.35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4.25" customHeight="1" x14ac:dyDescent="0.35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4.25" customHeight="1" x14ac:dyDescent="0.35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4.25" customHeight="1" x14ac:dyDescent="0.35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4.25" customHeight="1" x14ac:dyDescent="0.35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4.25" customHeight="1" x14ac:dyDescent="0.3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4.25" customHeight="1" x14ac:dyDescent="0.35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14.25" customHeight="1" x14ac:dyDescent="0.35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14.25" customHeight="1" x14ac:dyDescent="0.35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14.25" customHeight="1" x14ac:dyDescent="0.35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14.25" customHeight="1" x14ac:dyDescent="0.35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14.25" customHeight="1" x14ac:dyDescent="0.35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14.25" customHeight="1" x14ac:dyDescent="0.35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14.25" customHeight="1" x14ac:dyDescent="0.35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14.25" customHeight="1" x14ac:dyDescent="0.35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14.25" customHeight="1" x14ac:dyDescent="0.3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14.25" customHeight="1" x14ac:dyDescent="0.35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14.25" customHeight="1" x14ac:dyDescent="0.35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14.25" customHeight="1" x14ac:dyDescent="0.35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14.25" customHeight="1" x14ac:dyDescent="0.35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14.25" customHeight="1" x14ac:dyDescent="0.35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14.25" customHeight="1" x14ac:dyDescent="0.35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14.25" customHeight="1" x14ac:dyDescent="0.35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14.25" customHeight="1" x14ac:dyDescent="0.35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14.25" customHeight="1" x14ac:dyDescent="0.35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14.25" customHeight="1" x14ac:dyDescent="0.3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14.25" customHeight="1" x14ac:dyDescent="0.35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14.25" customHeight="1" x14ac:dyDescent="0.35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14.25" customHeight="1" x14ac:dyDescent="0.35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14.25" customHeight="1" x14ac:dyDescent="0.35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4.25" customHeight="1" x14ac:dyDescent="0.35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4.25" customHeight="1" x14ac:dyDescent="0.35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4.25" customHeight="1" x14ac:dyDescent="0.35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4.25" customHeight="1" x14ac:dyDescent="0.35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14.25" customHeight="1" x14ac:dyDescent="0.35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14.25" customHeight="1" x14ac:dyDescent="0.3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14.25" customHeight="1" x14ac:dyDescent="0.35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14.25" customHeight="1" x14ac:dyDescent="0.35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14.25" customHeight="1" x14ac:dyDescent="0.35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14.25" customHeight="1" x14ac:dyDescent="0.35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14.25" customHeight="1" x14ac:dyDescent="0.35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14.25" customHeight="1" x14ac:dyDescent="0.35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14.25" customHeight="1" x14ac:dyDescent="0.35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14.25" customHeight="1" x14ac:dyDescent="0.35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14.25" customHeight="1" x14ac:dyDescent="0.35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14.25" customHeight="1" x14ac:dyDescent="0.3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14.25" customHeight="1" x14ac:dyDescent="0.35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14.25" customHeight="1" x14ac:dyDescent="0.35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14.25" customHeight="1" x14ac:dyDescent="0.35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14.25" customHeight="1" x14ac:dyDescent="0.35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14.25" customHeight="1" x14ac:dyDescent="0.35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6">
    <mergeCell ref="P8:Q8"/>
    <mergeCell ref="A8:B8"/>
    <mergeCell ref="D8:E8"/>
    <mergeCell ref="G8:H8"/>
    <mergeCell ref="J8:K8"/>
    <mergeCell ref="M8:N8"/>
  </mergeCells>
  <pageMargins left="0.75" right="0.75" top="1" bottom="1" header="0" footer="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5E54-BFC8-492A-96A5-B34E724AD487}">
  <sheetPr>
    <tabColor theme="8" tint="0.39997558519241921"/>
  </sheetPr>
  <dimension ref="A8:J82"/>
  <sheetViews>
    <sheetView topLeftCell="A69" workbookViewId="0">
      <selection activeCell="J81" sqref="J81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2.90625" customWidth="1"/>
  </cols>
  <sheetData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1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2</v>
      </c>
      <c r="G12" s="3" t="s">
        <v>12</v>
      </c>
      <c r="H12" s="2" t="str">
        <f t="shared" si="0"/>
        <v>D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0</v>
      </c>
      <c r="F13" s="4">
        <v>2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0</v>
      </c>
      <c r="F14" s="4">
        <v>1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1</v>
      </c>
      <c r="F15" s="4">
        <v>0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0</v>
      </c>
      <c r="F17" s="4">
        <v>0</v>
      </c>
      <c r="G17" s="3" t="s">
        <v>19</v>
      </c>
      <c r="H17" s="2" t="str">
        <f t="shared" si="0"/>
        <v>D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1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0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1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2</v>
      </c>
      <c r="G21" s="3" t="s">
        <v>25</v>
      </c>
      <c r="H21" s="2" t="str">
        <f t="shared" si="0"/>
        <v>D</v>
      </c>
      <c r="J21">
        <v>1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3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2</v>
      </c>
      <c r="F25" s="4">
        <v>2</v>
      </c>
      <c r="G25" s="3" t="s">
        <v>24</v>
      </c>
      <c r="H25" s="2" t="str">
        <f t="shared" si="0"/>
        <v>D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1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0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0</v>
      </c>
      <c r="F28" s="4">
        <v>1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0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0</v>
      </c>
      <c r="F32" s="4">
        <v>1</v>
      </c>
      <c r="G32" s="3" t="s">
        <v>32</v>
      </c>
      <c r="H32" s="2" t="str">
        <f t="shared" si="0"/>
        <v>A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0</v>
      </c>
      <c r="F34" s="4">
        <v>1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1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2</v>
      </c>
      <c r="F36" s="4">
        <v>0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2</v>
      </c>
      <c r="F37" s="4">
        <v>2</v>
      </c>
      <c r="G37" s="3" t="s">
        <v>37</v>
      </c>
      <c r="H37" s="2" t="str">
        <f t="shared" si="0"/>
        <v>D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1</v>
      </c>
      <c r="F38" s="4">
        <v>2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2</v>
      </c>
      <c r="G39" s="3" t="s">
        <v>44</v>
      </c>
      <c r="H39" s="2" t="str">
        <f t="shared" si="0"/>
        <v>D</v>
      </c>
      <c r="J39">
        <v>3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1</v>
      </c>
      <c r="F42" s="4">
        <v>2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0</v>
      </c>
      <c r="F43" s="4">
        <v>1</v>
      </c>
      <c r="G43" s="3" t="s">
        <v>45</v>
      </c>
      <c r="H43" s="2" t="str">
        <f t="shared" si="1"/>
        <v>A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3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1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0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2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3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0</v>
      </c>
      <c r="F55" s="4">
        <v>1</v>
      </c>
      <c r="G55" s="3" t="s">
        <v>58</v>
      </c>
      <c r="H55" s="2" t="str">
        <f t="shared" si="1"/>
        <v>A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1</v>
      </c>
      <c r="G56" s="3" t="s">
        <v>56</v>
      </c>
      <c r="H56" s="2" t="str">
        <f t="shared" si="1"/>
        <v>D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2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3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1</v>
      </c>
      <c r="F60" s="4">
        <v>1</v>
      </c>
      <c r="G60" s="3" t="s">
        <v>63</v>
      </c>
      <c r="H60" s="2" t="str">
        <f t="shared" si="1"/>
        <v>D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1</v>
      </c>
      <c r="F61" s="4">
        <v>2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1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1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1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0</v>
      </c>
      <c r="F66" s="4">
        <v>0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0</v>
      </c>
      <c r="F67" s="4">
        <v>1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2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1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0</v>
      </c>
      <c r="F70" s="4">
        <v>2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1</v>
      </c>
      <c r="F72" s="4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1</v>
      </c>
      <c r="G73" s="3" t="s">
        <v>75</v>
      </c>
      <c r="H73" s="2" t="str">
        <f t="shared" ref="H73:H80" si="2">IF(AND(E73&lt;&gt;"",F73&lt;&gt;""),IF(E73&gt;F73,"H",IF(E73&lt;F73,"A","D")),"")</f>
        <v>D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0</v>
      </c>
      <c r="G74" s="3" t="s">
        <v>77</v>
      </c>
      <c r="H74" s="2" t="str">
        <f t="shared" si="2"/>
        <v>H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1</v>
      </c>
      <c r="F75" s="4">
        <v>1</v>
      </c>
      <c r="G75" s="3" t="s">
        <v>82</v>
      </c>
      <c r="H75" s="2" t="str">
        <f t="shared" si="2"/>
        <v>D</v>
      </c>
      <c r="J75">
        <v>0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1</v>
      </c>
      <c r="F76" s="4">
        <v>0</v>
      </c>
      <c r="G76" s="3" t="s">
        <v>84</v>
      </c>
      <c r="H76" s="2" t="str">
        <f t="shared" si="2"/>
        <v>H</v>
      </c>
      <c r="J76">
        <v>3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1</v>
      </c>
      <c r="F77" s="4">
        <v>0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1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2</v>
      </c>
      <c r="F80" s="4">
        <v>0</v>
      </c>
      <c r="G80" s="3" t="s">
        <v>83</v>
      </c>
      <c r="H80" s="2" t="str">
        <f t="shared" si="2"/>
        <v>H</v>
      </c>
    </row>
    <row r="82" spans="10:10" x14ac:dyDescent="0.35">
      <c r="J82">
        <f>SUM(J9:J80)</f>
        <v>19</v>
      </c>
    </row>
  </sheetData>
  <pageMargins left="0.75" right="0.75" top="1" bottom="1" header="0.5" footer="0.5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2D30-639C-49DC-8C60-506A4C00C831}">
  <sheetPr>
    <tabColor theme="8" tint="0.39997558519241921"/>
  </sheetPr>
  <dimension ref="A5:Q42"/>
  <sheetViews>
    <sheetView workbookViewId="0">
      <selection activeCell="E18" sqref="E18"/>
    </sheetView>
  </sheetViews>
  <sheetFormatPr defaultRowHeight="14.5" x14ac:dyDescent="0.35"/>
  <cols>
    <col min="1" max="1" width="3.26953125" customWidth="1"/>
    <col min="2" max="2" width="20.6328125" customWidth="1"/>
    <col min="3" max="3" width="1.7265625" customWidth="1"/>
    <col min="4" max="4" width="3.26953125" customWidth="1"/>
    <col min="5" max="5" width="20.6328125" customWidth="1"/>
    <col min="6" max="6" width="1.7265625" customWidth="1"/>
    <col min="7" max="7" width="3.26953125" customWidth="1"/>
    <col min="8" max="8" width="20.6328125" customWidth="1"/>
    <col min="9" max="9" width="1.7265625" customWidth="1"/>
    <col min="10" max="10" width="3.26953125" customWidth="1"/>
    <col min="11" max="11" width="20.6328125" customWidth="1"/>
    <col min="12" max="12" width="1.7265625" customWidth="1"/>
    <col min="13" max="13" width="3.26953125" customWidth="1"/>
    <col min="14" max="14" width="20.6328125" customWidth="1"/>
    <col min="15" max="15" width="1.7265625" customWidth="1"/>
    <col min="16" max="16" width="3.2695312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25</v>
      </c>
      <c r="G10" s="10">
        <v>1</v>
      </c>
      <c r="H10" s="11" t="s">
        <v>24</v>
      </c>
      <c r="J10" s="10">
        <v>1</v>
      </c>
      <c r="K10" s="11" t="s">
        <v>24</v>
      </c>
      <c r="M10" s="10">
        <v>1</v>
      </c>
      <c r="N10" s="11" t="s">
        <v>141</v>
      </c>
      <c r="P10" s="10">
        <v>1</v>
      </c>
      <c r="Q10" s="11" t="s">
        <v>24</v>
      </c>
    </row>
    <row r="11" spans="1:17" s="9" customFormat="1" x14ac:dyDescent="0.35">
      <c r="A11" s="10">
        <f t="shared" ref="A11:A41" si="0">A10+1</f>
        <v>2</v>
      </c>
      <c r="B11" s="11" t="s">
        <v>12</v>
      </c>
      <c r="D11" s="10">
        <f t="shared" ref="D11:D25" si="1">D10+1</f>
        <v>2</v>
      </c>
      <c r="E11" s="11" t="s">
        <v>24</v>
      </c>
      <c r="G11" s="10">
        <f t="shared" ref="G11:G17" si="2">G10+1</f>
        <v>2</v>
      </c>
      <c r="H11" s="11" t="s">
        <v>37</v>
      </c>
      <c r="J11" s="10">
        <f>J10+1</f>
        <v>2</v>
      </c>
      <c r="K11" s="11" t="s">
        <v>141</v>
      </c>
      <c r="M11" s="10">
        <f>M10+1</f>
        <v>2</v>
      </c>
      <c r="N11" s="11" t="s">
        <v>24</v>
      </c>
    </row>
    <row r="12" spans="1:17" s="9" customFormat="1" x14ac:dyDescent="0.35">
      <c r="A12" s="10">
        <f t="shared" si="0"/>
        <v>3</v>
      </c>
      <c r="B12" s="11" t="s">
        <v>22</v>
      </c>
      <c r="D12" s="10">
        <f t="shared" si="1"/>
        <v>3</v>
      </c>
      <c r="E12" s="11" t="s">
        <v>30</v>
      </c>
      <c r="G12" s="10">
        <f t="shared" si="2"/>
        <v>3</v>
      </c>
      <c r="H12" s="11" t="s">
        <v>10</v>
      </c>
      <c r="J12" s="10">
        <f>J11+1</f>
        <v>3</v>
      </c>
      <c r="K12" s="11" t="s">
        <v>75</v>
      </c>
    </row>
    <row r="13" spans="1:17" s="9" customFormat="1" x14ac:dyDescent="0.35">
      <c r="A13" s="10">
        <f t="shared" si="0"/>
        <v>4</v>
      </c>
      <c r="B13" s="11" t="s">
        <v>18</v>
      </c>
      <c r="D13" s="10">
        <f t="shared" si="1"/>
        <v>4</v>
      </c>
      <c r="E13" s="11" t="s">
        <v>33</v>
      </c>
      <c r="G13" s="10">
        <f t="shared" si="2"/>
        <v>4</v>
      </c>
      <c r="H13" s="11" t="s">
        <v>56</v>
      </c>
      <c r="J13" s="10">
        <f>J12+1</f>
        <v>4</v>
      </c>
      <c r="K13" s="11" t="s">
        <v>62</v>
      </c>
    </row>
    <row r="14" spans="1:17" s="9" customFormat="1" x14ac:dyDescent="0.35">
      <c r="A14" s="10">
        <f t="shared" si="0"/>
        <v>5</v>
      </c>
      <c r="B14" s="11" t="s">
        <v>25</v>
      </c>
      <c r="D14" s="10">
        <f t="shared" si="1"/>
        <v>5</v>
      </c>
      <c r="E14" s="11" t="s">
        <v>37</v>
      </c>
      <c r="G14" s="10">
        <f t="shared" si="2"/>
        <v>5</v>
      </c>
      <c r="H14" s="11" t="s">
        <v>62</v>
      </c>
    </row>
    <row r="15" spans="1:17" s="9" customFormat="1" x14ac:dyDescent="0.35">
      <c r="A15" s="10">
        <f t="shared" si="0"/>
        <v>6</v>
      </c>
      <c r="B15" s="11" t="s">
        <v>24</v>
      </c>
      <c r="D15" s="10">
        <f t="shared" si="1"/>
        <v>6</v>
      </c>
      <c r="E15" s="11" t="s">
        <v>40</v>
      </c>
      <c r="G15" s="10">
        <f t="shared" si="2"/>
        <v>6</v>
      </c>
      <c r="H15" s="11" t="s">
        <v>68</v>
      </c>
    </row>
    <row r="16" spans="1:17" s="9" customFormat="1" x14ac:dyDescent="0.35">
      <c r="A16" s="10">
        <f t="shared" si="0"/>
        <v>7</v>
      </c>
      <c r="B16" s="11" t="s">
        <v>30</v>
      </c>
      <c r="D16" s="10">
        <f t="shared" si="1"/>
        <v>7</v>
      </c>
      <c r="E16" s="11" t="s">
        <v>10</v>
      </c>
      <c r="G16" s="10">
        <f t="shared" si="2"/>
        <v>7</v>
      </c>
      <c r="H16" s="11" t="s">
        <v>75</v>
      </c>
    </row>
    <row r="17" spans="1:11" s="9" customFormat="1" x14ac:dyDescent="0.35">
      <c r="A17" s="10">
        <f t="shared" si="0"/>
        <v>8</v>
      </c>
      <c r="B17" s="11" t="s">
        <v>33</v>
      </c>
      <c r="D17" s="10">
        <f t="shared" si="1"/>
        <v>8</v>
      </c>
      <c r="E17" s="11" t="s">
        <v>45</v>
      </c>
      <c r="G17" s="10">
        <f t="shared" si="2"/>
        <v>8</v>
      </c>
      <c r="H17" s="11" t="s">
        <v>81</v>
      </c>
    </row>
    <row r="18" spans="1:11" s="9" customFormat="1" x14ac:dyDescent="0.35">
      <c r="A18" s="10">
        <f t="shared" si="0"/>
        <v>9</v>
      </c>
      <c r="B18" s="11" t="s">
        <v>37</v>
      </c>
      <c r="D18" s="10">
        <f t="shared" si="1"/>
        <v>9</v>
      </c>
      <c r="E18" s="11" t="s">
        <v>56</v>
      </c>
    </row>
    <row r="19" spans="1:11" s="9" customFormat="1" x14ac:dyDescent="0.35">
      <c r="A19" s="10">
        <f t="shared" si="0"/>
        <v>10</v>
      </c>
      <c r="B19" s="11" t="s">
        <v>40</v>
      </c>
      <c r="D19" s="10">
        <f t="shared" si="1"/>
        <v>10</v>
      </c>
      <c r="E19" s="11" t="s">
        <v>59</v>
      </c>
    </row>
    <row r="20" spans="1:11" s="9" customFormat="1" x14ac:dyDescent="0.35">
      <c r="A20" s="10">
        <f t="shared" si="0"/>
        <v>11</v>
      </c>
      <c r="B20" s="11" t="s">
        <v>43</v>
      </c>
      <c r="D20" s="10">
        <f t="shared" si="1"/>
        <v>11</v>
      </c>
      <c r="E20" s="11" t="s">
        <v>62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45</v>
      </c>
      <c r="D21" s="10">
        <f t="shared" si="1"/>
        <v>12</v>
      </c>
      <c r="E21" s="11" t="s">
        <v>68</v>
      </c>
    </row>
    <row r="22" spans="1:11" s="9" customFormat="1" x14ac:dyDescent="0.35">
      <c r="A22" s="10">
        <f t="shared" si="0"/>
        <v>13</v>
      </c>
      <c r="B22" s="11" t="s">
        <v>49</v>
      </c>
      <c r="D22" s="10">
        <f t="shared" si="1"/>
        <v>13</v>
      </c>
      <c r="E22" s="11" t="s">
        <v>75</v>
      </c>
      <c r="H22" s="9" t="s">
        <v>113</v>
      </c>
      <c r="K22" s="11" t="s">
        <v>351</v>
      </c>
    </row>
    <row r="23" spans="1:11" s="9" customFormat="1" x14ac:dyDescent="0.35">
      <c r="A23" s="10">
        <f t="shared" si="0"/>
        <v>14</v>
      </c>
      <c r="B23" s="11" t="s">
        <v>50</v>
      </c>
      <c r="D23" s="10">
        <f t="shared" si="1"/>
        <v>14</v>
      </c>
      <c r="E23" s="11" t="s">
        <v>78</v>
      </c>
      <c r="H23" s="9" t="s">
        <v>116</v>
      </c>
      <c r="K23" s="11" t="s">
        <v>11</v>
      </c>
    </row>
    <row r="24" spans="1:11" s="9" customFormat="1" x14ac:dyDescent="0.35">
      <c r="A24" s="10">
        <f t="shared" si="0"/>
        <v>15</v>
      </c>
      <c r="B24" s="11" t="s">
        <v>56</v>
      </c>
      <c r="D24" s="10">
        <f t="shared" si="1"/>
        <v>15</v>
      </c>
      <c r="E24" s="11" t="s">
        <v>82</v>
      </c>
      <c r="H24" s="9" t="s">
        <v>119</v>
      </c>
      <c r="K24" s="11" t="s">
        <v>350</v>
      </c>
    </row>
    <row r="25" spans="1:11" s="9" customFormat="1" x14ac:dyDescent="0.35">
      <c r="A25" s="10">
        <f t="shared" si="0"/>
        <v>16</v>
      </c>
      <c r="B25" s="11" t="s">
        <v>59</v>
      </c>
      <c r="D25" s="10">
        <f t="shared" si="1"/>
        <v>16</v>
      </c>
      <c r="E25" s="11" t="s">
        <v>81</v>
      </c>
    </row>
    <row r="26" spans="1:11" s="9" customFormat="1" x14ac:dyDescent="0.35">
      <c r="A26" s="10">
        <f t="shared" si="0"/>
        <v>17</v>
      </c>
      <c r="B26" s="11" t="s">
        <v>62</v>
      </c>
      <c r="H26" s="9" t="s">
        <v>122</v>
      </c>
      <c r="K26" s="11">
        <v>314</v>
      </c>
    </row>
    <row r="27" spans="1:11" s="9" customFormat="1" x14ac:dyDescent="0.35">
      <c r="A27" s="10">
        <f t="shared" si="0"/>
        <v>18</v>
      </c>
      <c r="B27" s="11" t="s">
        <v>65</v>
      </c>
      <c r="H27" s="9" t="s">
        <v>124</v>
      </c>
    </row>
    <row r="28" spans="1:11" x14ac:dyDescent="0.35">
      <c r="A28" s="10">
        <f t="shared" si="0"/>
        <v>19</v>
      </c>
      <c r="B28" s="11" t="s">
        <v>68</v>
      </c>
    </row>
    <row r="29" spans="1:11" x14ac:dyDescent="0.35">
      <c r="A29" s="10">
        <f t="shared" si="0"/>
        <v>20</v>
      </c>
      <c r="B29" s="11" t="s">
        <v>70</v>
      </c>
    </row>
    <row r="30" spans="1:11" x14ac:dyDescent="0.35">
      <c r="A30" s="10">
        <f t="shared" si="0"/>
        <v>21</v>
      </c>
      <c r="B30" s="11" t="s">
        <v>75</v>
      </c>
    </row>
    <row r="31" spans="1:11" x14ac:dyDescent="0.35">
      <c r="A31" s="10">
        <f t="shared" si="0"/>
        <v>22</v>
      </c>
      <c r="B31" s="11" t="s">
        <v>78</v>
      </c>
    </row>
    <row r="32" spans="1:11" x14ac:dyDescent="0.35">
      <c r="A32" s="10">
        <f t="shared" si="0"/>
        <v>23</v>
      </c>
      <c r="B32" s="11" t="s">
        <v>82</v>
      </c>
    </row>
    <row r="33" spans="1:2" x14ac:dyDescent="0.35">
      <c r="A33" s="10">
        <f t="shared" si="0"/>
        <v>24</v>
      </c>
      <c r="B33" s="11" t="s">
        <v>81</v>
      </c>
    </row>
    <row r="34" spans="1:2" x14ac:dyDescent="0.35">
      <c r="A34" s="10">
        <f t="shared" si="0"/>
        <v>25</v>
      </c>
      <c r="B34" s="11" t="s">
        <v>27</v>
      </c>
    </row>
    <row r="35" spans="1:2" x14ac:dyDescent="0.35">
      <c r="A35" s="10">
        <f t="shared" si="0"/>
        <v>26</v>
      </c>
      <c r="B35" s="11" t="s">
        <v>44</v>
      </c>
    </row>
    <row r="36" spans="1:2" x14ac:dyDescent="0.35">
      <c r="A36" s="10">
        <f t="shared" si="0"/>
        <v>27</v>
      </c>
      <c r="B36" s="11" t="s">
        <v>63</v>
      </c>
    </row>
    <row r="37" spans="1:2" x14ac:dyDescent="0.35">
      <c r="A37" s="10">
        <f t="shared" si="0"/>
        <v>28</v>
      </c>
      <c r="B37" s="11" t="s">
        <v>19</v>
      </c>
    </row>
    <row r="38" spans="1:2" x14ac:dyDescent="0.35">
      <c r="A38" s="10">
        <f t="shared" si="0"/>
        <v>29</v>
      </c>
      <c r="B38" s="11" t="s">
        <v>13</v>
      </c>
    </row>
    <row r="39" spans="1:2" x14ac:dyDescent="0.35">
      <c r="A39" s="10">
        <f t="shared" si="0"/>
        <v>30</v>
      </c>
      <c r="B39" s="11" t="s">
        <v>39</v>
      </c>
    </row>
    <row r="40" spans="1:2" x14ac:dyDescent="0.35">
      <c r="A40" s="10">
        <f t="shared" si="0"/>
        <v>31</v>
      </c>
      <c r="B40" s="11" t="s">
        <v>32</v>
      </c>
    </row>
    <row r="41" spans="1:2" x14ac:dyDescent="0.35">
      <c r="A41" s="10">
        <f t="shared" si="0"/>
        <v>32</v>
      </c>
      <c r="B41" s="11" t="s">
        <v>51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9650-0037-4CDF-A0DC-CC65ED99B1DC}">
  <sheetPr>
    <tabColor theme="8" tint="0.39997558519241921"/>
  </sheetPr>
  <dimension ref="A8:J82"/>
  <sheetViews>
    <sheetView topLeftCell="A71" workbookViewId="0">
      <selection activeCell="J80" sqref="J80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3.36328125" customWidth="1"/>
  </cols>
  <sheetData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0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3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2</v>
      </c>
      <c r="G10" s="3" t="s">
        <v>13</v>
      </c>
      <c r="H10" s="2" t="str">
        <f t="shared" si="0"/>
        <v>A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2</v>
      </c>
      <c r="G12" s="3" t="s">
        <v>12</v>
      </c>
      <c r="H12" s="2" t="str">
        <f t="shared" si="0"/>
        <v>D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2</v>
      </c>
      <c r="F13" s="4">
        <v>1</v>
      </c>
      <c r="G13" s="3" t="s">
        <v>10</v>
      </c>
      <c r="H13" s="2" t="str">
        <f t="shared" si="0"/>
        <v>H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0</v>
      </c>
      <c r="F14" s="4">
        <v>1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1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3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1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3</v>
      </c>
      <c r="F19" s="4">
        <v>1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1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2</v>
      </c>
      <c r="G21" s="3" t="s">
        <v>25</v>
      </c>
      <c r="H21" s="2" t="str">
        <f t="shared" si="0"/>
        <v>D</v>
      </c>
      <c r="J21">
        <v>1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1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3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3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1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2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3</v>
      </c>
      <c r="F27" s="4">
        <v>1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1</v>
      </c>
      <c r="G28" s="3" t="s">
        <v>33</v>
      </c>
      <c r="H28" s="2" t="str">
        <f t="shared" si="0"/>
        <v>D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2</v>
      </c>
      <c r="F30" s="4">
        <v>1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3</v>
      </c>
      <c r="F31" s="4">
        <v>2</v>
      </c>
      <c r="G31" s="3" t="s">
        <v>30</v>
      </c>
      <c r="H31" s="2" t="str">
        <f t="shared" si="0"/>
        <v>H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1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2</v>
      </c>
      <c r="F34" s="4">
        <v>2</v>
      </c>
      <c r="G34" s="3" t="s">
        <v>40</v>
      </c>
      <c r="H34" s="2" t="str">
        <f t="shared" si="0"/>
        <v>D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2</v>
      </c>
      <c r="F36" s="4">
        <v>1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3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2</v>
      </c>
      <c r="F38" s="4">
        <v>2</v>
      </c>
      <c r="G38" s="3" t="s">
        <v>39</v>
      </c>
      <c r="H38" s="2" t="str">
        <f t="shared" si="0"/>
        <v>D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3</v>
      </c>
      <c r="F39" s="4">
        <v>1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2</v>
      </c>
      <c r="F40" s="4">
        <v>0</v>
      </c>
      <c r="G40" s="3" t="s">
        <v>46</v>
      </c>
      <c r="H40" s="2" t="str">
        <f t="shared" si="0"/>
        <v>H</v>
      </c>
      <c r="J40">
        <v>1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0</v>
      </c>
      <c r="F42" s="4">
        <v>1</v>
      </c>
      <c r="G42" s="3" t="s">
        <v>44</v>
      </c>
      <c r="H42" s="2" t="str">
        <f t="shared" si="1"/>
        <v>A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2</v>
      </c>
      <c r="G43" s="3" t="s">
        <v>45</v>
      </c>
      <c r="H43" s="2" t="str">
        <f t="shared" si="1"/>
        <v>A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2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3</v>
      </c>
      <c r="F45" s="4">
        <v>2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2</v>
      </c>
      <c r="G46" s="3" t="s">
        <v>52</v>
      </c>
      <c r="H46" s="2" t="str">
        <f t="shared" si="1"/>
        <v>A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1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2</v>
      </c>
      <c r="F49" s="4">
        <v>0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1</v>
      </c>
      <c r="F50" s="4">
        <v>2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4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2</v>
      </c>
      <c r="F52" s="4">
        <v>2</v>
      </c>
      <c r="G52" s="3" t="s">
        <v>59</v>
      </c>
      <c r="H52" s="2" t="str">
        <f t="shared" si="1"/>
        <v>D</v>
      </c>
      <c r="J52">
        <v>1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1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1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2</v>
      </c>
      <c r="G55" s="3" t="s">
        <v>58</v>
      </c>
      <c r="H55" s="2" t="str">
        <f t="shared" si="1"/>
        <v>A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3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3</v>
      </c>
      <c r="F57" s="4">
        <v>1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3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3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1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2</v>
      </c>
      <c r="F61" s="4">
        <v>3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1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1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1</v>
      </c>
      <c r="F65" s="4">
        <v>1</v>
      </c>
      <c r="G65" s="3" t="s">
        <v>70</v>
      </c>
      <c r="H65" s="2" t="str">
        <f t="shared" si="1"/>
        <v>D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2</v>
      </c>
      <c r="F66" s="4">
        <v>2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2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1</v>
      </c>
      <c r="G68" s="3" t="s">
        <v>68</v>
      </c>
      <c r="H68" s="2" t="str">
        <f t="shared" si="1"/>
        <v>A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2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0</v>
      </c>
      <c r="F70" s="4">
        <v>1</v>
      </c>
      <c r="G70" s="3" t="s">
        <v>78</v>
      </c>
      <c r="H70" s="2" t="str">
        <f t="shared" si="1"/>
        <v>A</v>
      </c>
      <c r="J70">
        <v>1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1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2</v>
      </c>
      <c r="F73" s="4">
        <v>3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0</v>
      </c>
      <c r="F74" s="4">
        <v>0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0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3</v>
      </c>
      <c r="F77" s="4">
        <v>1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1</v>
      </c>
      <c r="F78" s="4">
        <v>3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2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3</v>
      </c>
      <c r="F80" s="4">
        <v>1</v>
      </c>
      <c r="G80" s="3" t="s">
        <v>83</v>
      </c>
      <c r="H80" s="2" t="str">
        <f t="shared" si="2"/>
        <v>H</v>
      </c>
    </row>
    <row r="82" spans="10:10" x14ac:dyDescent="0.35">
      <c r="J82">
        <f>SUM(J9:J80)</f>
        <v>16</v>
      </c>
    </row>
  </sheetData>
  <pageMargins left="0.75" right="0.75" top="1" bottom="1" header="0.5" footer="0.5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FE26-9032-4C48-A1EC-5EF17D71606E}">
  <sheetPr>
    <tabColor theme="8" tint="0.39997558519241921"/>
  </sheetPr>
  <dimension ref="A5:Q42"/>
  <sheetViews>
    <sheetView topLeftCell="A9" workbookViewId="0">
      <selection activeCell="H21" sqref="H21"/>
    </sheetView>
  </sheetViews>
  <sheetFormatPr defaultColWidth="8.81640625" defaultRowHeight="14.5" x14ac:dyDescent="0.35"/>
  <cols>
    <col min="1" max="1" width="3.1796875" customWidth="1"/>
    <col min="2" max="2" width="20.6328125" customWidth="1"/>
    <col min="3" max="3" width="1.81640625" customWidth="1"/>
    <col min="4" max="4" width="3.1796875" customWidth="1"/>
    <col min="5" max="5" width="20.6328125" customWidth="1"/>
    <col min="6" max="6" width="1.81640625" customWidth="1"/>
    <col min="7" max="7" width="3.1796875" customWidth="1"/>
    <col min="8" max="8" width="20.6328125" customWidth="1"/>
    <col min="9" max="9" width="1.81640625" customWidth="1"/>
    <col min="10" max="10" width="3.1796875" customWidth="1"/>
    <col min="11" max="11" width="20.6328125" customWidth="1"/>
    <col min="12" max="12" width="1.81640625" customWidth="1"/>
    <col min="13" max="13" width="3.1796875" customWidth="1"/>
    <col min="14" max="14" width="20.6328125" customWidth="1"/>
    <col min="15" max="15" width="1.81640625" customWidth="1"/>
    <col min="16" max="16" width="3.179687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91</v>
      </c>
      <c r="G10" s="10">
        <v>1</v>
      </c>
      <c r="H10" s="11" t="s">
        <v>91</v>
      </c>
      <c r="J10" s="10">
        <v>1</v>
      </c>
      <c r="K10" s="11" t="s">
        <v>91</v>
      </c>
      <c r="M10" s="10">
        <v>1</v>
      </c>
      <c r="N10" s="11" t="s">
        <v>92</v>
      </c>
      <c r="P10" s="10">
        <v>1</v>
      </c>
      <c r="Q10" s="11" t="s">
        <v>92</v>
      </c>
    </row>
    <row r="11" spans="1:17" s="9" customFormat="1" x14ac:dyDescent="0.35">
      <c r="A11" s="10">
        <f t="shared" ref="A11:A41" si="0">A10+1</f>
        <v>2</v>
      </c>
      <c r="B11" s="11" t="s">
        <v>171</v>
      </c>
      <c r="D11" s="10">
        <f t="shared" ref="D11:D25" si="1">D10+1</f>
        <v>2</v>
      </c>
      <c r="E11" s="11" t="s">
        <v>138</v>
      </c>
      <c r="G11" s="10">
        <f t="shared" ref="G11:G17" si="2">G10+1</f>
        <v>2</v>
      </c>
      <c r="H11" s="11" t="s">
        <v>105</v>
      </c>
      <c r="J11" s="10">
        <f>J10+1</f>
        <v>2</v>
      </c>
      <c r="K11" s="11" t="s">
        <v>101</v>
      </c>
      <c r="M11" s="10">
        <f>M10+1</f>
        <v>2</v>
      </c>
      <c r="N11" s="11" t="s">
        <v>101</v>
      </c>
    </row>
    <row r="12" spans="1:17" s="9" customFormat="1" x14ac:dyDescent="0.35">
      <c r="A12" s="10">
        <f t="shared" si="0"/>
        <v>3</v>
      </c>
      <c r="B12" s="11" t="s">
        <v>169</v>
      </c>
      <c r="D12" s="10">
        <f t="shared" si="1"/>
        <v>3</v>
      </c>
      <c r="E12" s="11" t="s">
        <v>105</v>
      </c>
      <c r="G12" s="10">
        <f t="shared" si="2"/>
        <v>3</v>
      </c>
      <c r="H12" s="11" t="s">
        <v>92</v>
      </c>
      <c r="J12" s="10">
        <f>J11+1</f>
        <v>3</v>
      </c>
      <c r="K12" s="11" t="s">
        <v>96</v>
      </c>
    </row>
    <row r="13" spans="1:17" s="9" customFormat="1" x14ac:dyDescent="0.35">
      <c r="A13" s="10">
        <f t="shared" si="0"/>
        <v>4</v>
      </c>
      <c r="B13" s="11" t="s">
        <v>18</v>
      </c>
      <c r="D13" s="10">
        <f t="shared" si="1"/>
        <v>4</v>
      </c>
      <c r="E13" s="11" t="s">
        <v>101</v>
      </c>
      <c r="G13" s="10">
        <f t="shared" si="2"/>
        <v>4</v>
      </c>
      <c r="H13" s="11" t="s">
        <v>101</v>
      </c>
      <c r="J13" s="10">
        <f>J12+1</f>
        <v>4</v>
      </c>
      <c r="K13" s="11" t="s">
        <v>92</v>
      </c>
    </row>
    <row r="14" spans="1:17" s="9" customFormat="1" x14ac:dyDescent="0.35">
      <c r="A14" s="10">
        <f t="shared" si="0"/>
        <v>5</v>
      </c>
      <c r="B14" s="11" t="s">
        <v>172</v>
      </c>
      <c r="D14" s="10">
        <f t="shared" si="1"/>
        <v>5</v>
      </c>
      <c r="E14" s="11" t="s">
        <v>99</v>
      </c>
      <c r="G14" s="10">
        <f t="shared" si="2"/>
        <v>5</v>
      </c>
      <c r="H14" s="11" t="s">
        <v>138</v>
      </c>
    </row>
    <row r="15" spans="1:17" s="9" customFormat="1" x14ac:dyDescent="0.35">
      <c r="A15" s="10">
        <f t="shared" si="0"/>
        <v>6</v>
      </c>
      <c r="B15" s="11" t="s">
        <v>138</v>
      </c>
      <c r="D15" s="10">
        <f t="shared" si="1"/>
        <v>6</v>
      </c>
      <c r="E15" s="11" t="s">
        <v>96</v>
      </c>
      <c r="G15" s="10">
        <f t="shared" si="2"/>
        <v>6</v>
      </c>
      <c r="H15" s="11" t="s">
        <v>103</v>
      </c>
    </row>
    <row r="16" spans="1:17" s="9" customFormat="1" x14ac:dyDescent="0.35">
      <c r="A16" s="10">
        <f t="shared" si="0"/>
        <v>7</v>
      </c>
      <c r="B16" s="11" t="s">
        <v>33</v>
      </c>
      <c r="D16" s="10">
        <f t="shared" si="1"/>
        <v>7</v>
      </c>
      <c r="E16" s="11" t="s">
        <v>364</v>
      </c>
      <c r="G16" s="10">
        <f t="shared" si="2"/>
        <v>7</v>
      </c>
      <c r="H16" s="11" t="s">
        <v>99</v>
      </c>
    </row>
    <row r="17" spans="1:11" s="9" customFormat="1" x14ac:dyDescent="0.35">
      <c r="A17" s="10">
        <f t="shared" si="0"/>
        <v>8</v>
      </c>
      <c r="B17" s="11" t="s">
        <v>341</v>
      </c>
      <c r="D17" s="10">
        <f t="shared" si="1"/>
        <v>8</v>
      </c>
      <c r="E17" s="11" t="s">
        <v>92</v>
      </c>
      <c r="G17" s="10">
        <f t="shared" si="2"/>
        <v>8</v>
      </c>
      <c r="H17" s="11" t="s">
        <v>96</v>
      </c>
    </row>
    <row r="18" spans="1:11" s="9" customFormat="1" x14ac:dyDescent="0.35">
      <c r="A18" s="10">
        <f t="shared" si="0"/>
        <v>9</v>
      </c>
      <c r="B18" s="11" t="s">
        <v>165</v>
      </c>
      <c r="D18" s="10">
        <f t="shared" si="1"/>
        <v>9</v>
      </c>
      <c r="E18" s="11" t="s">
        <v>144</v>
      </c>
    </row>
    <row r="19" spans="1:11" s="9" customFormat="1" x14ac:dyDescent="0.35">
      <c r="A19" s="10">
        <f t="shared" si="0"/>
        <v>10</v>
      </c>
      <c r="B19" s="11" t="s">
        <v>164</v>
      </c>
      <c r="D19" s="10">
        <f t="shared" si="1"/>
        <v>10</v>
      </c>
      <c r="E19" s="11" t="s">
        <v>128</v>
      </c>
    </row>
    <row r="20" spans="1:11" s="9" customFormat="1" x14ac:dyDescent="0.35">
      <c r="A20" s="10">
        <f t="shared" si="0"/>
        <v>11</v>
      </c>
      <c r="B20" s="11" t="s">
        <v>146</v>
      </c>
      <c r="D20" s="10">
        <f t="shared" si="1"/>
        <v>11</v>
      </c>
      <c r="E20" s="11" t="s">
        <v>103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45</v>
      </c>
      <c r="D21" s="10">
        <f t="shared" si="1"/>
        <v>12</v>
      </c>
      <c r="E21" s="11" t="s">
        <v>112</v>
      </c>
    </row>
    <row r="22" spans="1:11" s="9" customFormat="1" x14ac:dyDescent="0.35">
      <c r="A22" s="10">
        <f t="shared" si="0"/>
        <v>13</v>
      </c>
      <c r="B22" s="11" t="s">
        <v>177</v>
      </c>
      <c r="D22" s="10">
        <f t="shared" si="1"/>
        <v>13</v>
      </c>
      <c r="E22" s="11" t="s">
        <v>109</v>
      </c>
      <c r="H22" s="9" t="s">
        <v>113</v>
      </c>
      <c r="K22" s="11" t="s">
        <v>363</v>
      </c>
    </row>
    <row r="23" spans="1:11" s="9" customFormat="1" x14ac:dyDescent="0.35">
      <c r="A23" s="10">
        <f t="shared" si="0"/>
        <v>14</v>
      </c>
      <c r="B23" s="11" t="s">
        <v>142</v>
      </c>
      <c r="D23" s="10">
        <f t="shared" si="1"/>
        <v>14</v>
      </c>
      <c r="E23" s="11" t="s">
        <v>106</v>
      </c>
      <c r="H23" s="9" t="s">
        <v>116</v>
      </c>
      <c r="K23" s="11" t="s">
        <v>95</v>
      </c>
    </row>
    <row r="24" spans="1:11" s="9" customFormat="1" x14ac:dyDescent="0.35">
      <c r="A24" s="10">
        <f t="shared" si="0"/>
        <v>15</v>
      </c>
      <c r="B24" s="11" t="s">
        <v>101</v>
      </c>
      <c r="D24" s="10">
        <f t="shared" si="1"/>
        <v>15</v>
      </c>
      <c r="E24" s="11" t="s">
        <v>98</v>
      </c>
      <c r="H24" s="9" t="s">
        <v>119</v>
      </c>
      <c r="K24" s="11" t="s">
        <v>362</v>
      </c>
    </row>
    <row r="25" spans="1:11" s="9" customFormat="1" x14ac:dyDescent="0.35">
      <c r="A25" s="10">
        <f t="shared" si="0"/>
        <v>16</v>
      </c>
      <c r="B25" s="11" t="s">
        <v>361</v>
      </c>
      <c r="D25" s="10">
        <f t="shared" si="1"/>
        <v>16</v>
      </c>
      <c r="E25" s="11" t="s">
        <v>108</v>
      </c>
    </row>
    <row r="26" spans="1:11" s="9" customFormat="1" x14ac:dyDescent="0.35">
      <c r="A26" s="10">
        <f t="shared" si="0"/>
        <v>17</v>
      </c>
      <c r="B26" s="11" t="s">
        <v>92</v>
      </c>
      <c r="H26" s="9" t="s">
        <v>122</v>
      </c>
      <c r="K26" s="13">
        <v>276</v>
      </c>
    </row>
    <row r="27" spans="1:11" s="9" customFormat="1" x14ac:dyDescent="0.35">
      <c r="A27" s="10">
        <f t="shared" si="0"/>
        <v>18</v>
      </c>
      <c r="B27" s="11" t="s">
        <v>128</v>
      </c>
      <c r="H27" s="9" t="s">
        <v>124</v>
      </c>
    </row>
    <row r="28" spans="1:11" x14ac:dyDescent="0.35">
      <c r="A28" s="10">
        <f t="shared" si="0"/>
        <v>19</v>
      </c>
      <c r="B28" s="11" t="s">
        <v>141</v>
      </c>
    </row>
    <row r="29" spans="1:11" x14ac:dyDescent="0.35">
      <c r="A29" s="10">
        <f t="shared" si="0"/>
        <v>20</v>
      </c>
      <c r="B29" s="11" t="s">
        <v>127</v>
      </c>
    </row>
    <row r="30" spans="1:11" x14ac:dyDescent="0.35">
      <c r="A30" s="10">
        <f t="shared" si="0"/>
        <v>21</v>
      </c>
      <c r="B30" s="11" t="s">
        <v>75</v>
      </c>
    </row>
    <row r="31" spans="1:11" x14ac:dyDescent="0.35">
      <c r="A31" s="10">
        <f t="shared" si="0"/>
        <v>22</v>
      </c>
      <c r="B31" s="11" t="s">
        <v>129</v>
      </c>
    </row>
    <row r="32" spans="1:11" x14ac:dyDescent="0.35">
      <c r="A32" s="10">
        <f t="shared" si="0"/>
        <v>23</v>
      </c>
      <c r="B32" s="11" t="s">
        <v>99</v>
      </c>
    </row>
    <row r="33" spans="1:2" x14ac:dyDescent="0.35">
      <c r="A33" s="10">
        <f t="shared" si="0"/>
        <v>24</v>
      </c>
      <c r="B33" s="11" t="s">
        <v>112</v>
      </c>
    </row>
    <row r="34" spans="1:2" x14ac:dyDescent="0.35">
      <c r="A34" s="10">
        <f t="shared" si="0"/>
        <v>25</v>
      </c>
      <c r="B34" s="11" t="s">
        <v>83</v>
      </c>
    </row>
    <row r="35" spans="1:2" x14ac:dyDescent="0.35">
      <c r="A35" s="10">
        <f t="shared" si="0"/>
        <v>26</v>
      </c>
      <c r="B35" s="11" t="s">
        <v>108</v>
      </c>
    </row>
    <row r="36" spans="1:2" x14ac:dyDescent="0.35">
      <c r="A36" s="10">
        <f t="shared" si="0"/>
        <v>27</v>
      </c>
      <c r="B36" s="11" t="s">
        <v>104</v>
      </c>
    </row>
    <row r="37" spans="1:2" x14ac:dyDescent="0.35">
      <c r="A37" s="10">
        <f t="shared" si="0"/>
        <v>28</v>
      </c>
      <c r="B37" s="11" t="s">
        <v>139</v>
      </c>
    </row>
    <row r="38" spans="1:2" x14ac:dyDescent="0.35">
      <c r="A38" s="10">
        <f t="shared" si="0"/>
        <v>29</v>
      </c>
      <c r="B38" s="11" t="s">
        <v>95</v>
      </c>
    </row>
    <row r="39" spans="1:2" x14ac:dyDescent="0.35">
      <c r="A39" s="10">
        <f t="shared" si="0"/>
        <v>30</v>
      </c>
      <c r="B39" s="11" t="s">
        <v>360</v>
      </c>
    </row>
    <row r="40" spans="1:2" x14ac:dyDescent="0.35">
      <c r="A40" s="10">
        <f t="shared" si="0"/>
        <v>31</v>
      </c>
      <c r="B40" s="11" t="s">
        <v>94</v>
      </c>
    </row>
    <row r="41" spans="1:2" x14ac:dyDescent="0.35">
      <c r="A41" s="10">
        <f t="shared" si="0"/>
        <v>32</v>
      </c>
      <c r="B41" s="11" t="s">
        <v>117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94DB-EABE-4D1C-ABCE-B4B4038A67C3}">
  <sheetPr>
    <tabColor theme="8" tint="0.39997558519241921"/>
  </sheetPr>
  <dimension ref="A8:J82"/>
  <sheetViews>
    <sheetView topLeftCell="A64" workbookViewId="0">
      <selection activeCell="J82" sqref="J82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3.36328125" customWidth="1"/>
  </cols>
  <sheetData>
    <row r="8" spans="1:10" x14ac:dyDescent="0.35">
      <c r="A8" s="25" t="s">
        <v>0</v>
      </c>
      <c r="B8" s="25" t="s">
        <v>1</v>
      </c>
      <c r="C8" s="25" t="s">
        <v>2</v>
      </c>
      <c r="D8" s="25" t="s">
        <v>3</v>
      </c>
      <c r="E8" s="25" t="s">
        <v>4</v>
      </c>
      <c r="F8" s="25" t="s">
        <v>5</v>
      </c>
      <c r="G8" s="25" t="s">
        <v>6</v>
      </c>
      <c r="H8" s="25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2</v>
      </c>
      <c r="F9" s="4">
        <v>1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2</v>
      </c>
      <c r="F11" s="4">
        <v>0</v>
      </c>
      <c r="G11" s="3" t="s">
        <v>11</v>
      </c>
      <c r="H11" s="2" t="str">
        <f t="shared" si="0"/>
        <v>H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1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1</v>
      </c>
      <c r="G13" s="3" t="s">
        <v>10</v>
      </c>
      <c r="H13" s="2" t="str">
        <f t="shared" si="0"/>
        <v>D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2</v>
      </c>
      <c r="G14" s="3" t="s">
        <v>12</v>
      </c>
      <c r="H14" s="2" t="str">
        <f t="shared" si="0"/>
        <v>A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1</v>
      </c>
      <c r="F15" s="4">
        <v>1</v>
      </c>
      <c r="G15" s="3" t="s">
        <v>19</v>
      </c>
      <c r="H15" s="2" t="str">
        <f t="shared" si="0"/>
        <v>D</v>
      </c>
      <c r="J15">
        <v>3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2</v>
      </c>
      <c r="F17" s="4">
        <v>1</v>
      </c>
      <c r="G17" s="3" t="s">
        <v>19</v>
      </c>
      <c r="H17" s="2" t="str">
        <f t="shared" si="0"/>
        <v>H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2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2</v>
      </c>
      <c r="F19" s="4">
        <v>1</v>
      </c>
      <c r="G19" s="3" t="s">
        <v>18</v>
      </c>
      <c r="H19" s="2" t="str">
        <f t="shared" si="0"/>
        <v>H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0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2</v>
      </c>
      <c r="F21" s="4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0</v>
      </c>
      <c r="F22" s="4">
        <v>2</v>
      </c>
      <c r="G22" s="3" t="s">
        <v>27</v>
      </c>
      <c r="H22" s="2" t="str">
        <f t="shared" si="0"/>
        <v>A</v>
      </c>
      <c r="J22">
        <v>1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1</v>
      </c>
      <c r="G23" s="3" t="s">
        <v>25</v>
      </c>
      <c r="H23" s="2" t="str">
        <f t="shared" si="0"/>
        <v>D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0</v>
      </c>
      <c r="F25" s="4">
        <v>2</v>
      </c>
      <c r="G25" s="3" t="s">
        <v>24</v>
      </c>
      <c r="H25" s="2" t="str">
        <f t="shared" si="0"/>
        <v>A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3</v>
      </c>
      <c r="F26" s="4">
        <v>0</v>
      </c>
      <c r="G26" s="3" t="s">
        <v>26</v>
      </c>
      <c r="H26" s="2" t="str">
        <f t="shared" si="0"/>
        <v>H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2</v>
      </c>
      <c r="G27" s="3" t="s">
        <v>31</v>
      </c>
      <c r="H27" s="2" t="str">
        <f t="shared" si="0"/>
        <v>D</v>
      </c>
      <c r="J27">
        <v>0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2</v>
      </c>
      <c r="G28" s="3" t="s">
        <v>33</v>
      </c>
      <c r="H28" s="2" t="str">
        <f t="shared" si="0"/>
        <v>A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1</v>
      </c>
      <c r="F30" s="4">
        <v>1</v>
      </c>
      <c r="G30" s="3" t="s">
        <v>31</v>
      </c>
      <c r="H30" s="2" t="str">
        <f t="shared" si="0"/>
        <v>D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1</v>
      </c>
      <c r="F32" s="4">
        <v>1</v>
      </c>
      <c r="G32" s="3" t="s">
        <v>32</v>
      </c>
      <c r="H32" s="2" t="str">
        <f t="shared" si="0"/>
        <v>D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3</v>
      </c>
      <c r="F33" s="4">
        <v>1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1</v>
      </c>
      <c r="F34" s="4">
        <v>2</v>
      </c>
      <c r="G34" s="3" t="s">
        <v>40</v>
      </c>
      <c r="H34" s="2" t="str">
        <f t="shared" si="0"/>
        <v>A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1</v>
      </c>
      <c r="F36" s="4">
        <v>1</v>
      </c>
      <c r="G36" s="3" t="s">
        <v>38</v>
      </c>
      <c r="H36" s="2" t="str">
        <f t="shared" si="0"/>
        <v>D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2</v>
      </c>
      <c r="G37" s="3" t="s">
        <v>37</v>
      </c>
      <c r="H37" s="2" t="str">
        <f t="shared" si="0"/>
        <v>A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2</v>
      </c>
      <c r="F38" s="4">
        <v>1</v>
      </c>
      <c r="G38" s="3" t="s">
        <v>39</v>
      </c>
      <c r="H38" s="2" t="str">
        <f t="shared" si="0"/>
        <v>H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0</v>
      </c>
      <c r="G39" s="3" t="s">
        <v>44</v>
      </c>
      <c r="H39" s="2" t="str">
        <f t="shared" si="0"/>
        <v>H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1</v>
      </c>
      <c r="G40" s="3" t="s">
        <v>46</v>
      </c>
      <c r="H40" s="2" t="str">
        <f t="shared" si="0"/>
        <v>D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  <c r="J41">
        <v>0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1</v>
      </c>
      <c r="F42" s="4">
        <v>1</v>
      </c>
      <c r="G42" s="3" t="s">
        <v>44</v>
      </c>
      <c r="H42" s="2" t="str">
        <f t="shared" si="1"/>
        <v>D</v>
      </c>
      <c r="J42">
        <v>0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1</v>
      </c>
      <c r="F43" s="4">
        <v>1</v>
      </c>
      <c r="G43" s="3" t="s">
        <v>45</v>
      </c>
      <c r="H43" s="2" t="str">
        <f t="shared" si="1"/>
        <v>D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0</v>
      </c>
      <c r="F44" s="4">
        <v>3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2</v>
      </c>
      <c r="F45" s="4">
        <v>1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1</v>
      </c>
      <c r="F46" s="4">
        <v>0</v>
      </c>
      <c r="G46" s="3" t="s">
        <v>52</v>
      </c>
      <c r="H46" s="2" t="str">
        <f t="shared" si="1"/>
        <v>H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2</v>
      </c>
      <c r="F47" s="4">
        <v>0</v>
      </c>
      <c r="G47" s="3" t="s">
        <v>51</v>
      </c>
      <c r="H47" s="2" t="str">
        <f t="shared" si="1"/>
        <v>H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0</v>
      </c>
      <c r="F48" s="4">
        <v>2</v>
      </c>
      <c r="G48" s="3" t="s">
        <v>50</v>
      </c>
      <c r="H48" s="2" t="str">
        <f t="shared" si="1"/>
        <v>A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1</v>
      </c>
      <c r="F49" s="4">
        <v>1</v>
      </c>
      <c r="G49" s="3" t="s">
        <v>51</v>
      </c>
      <c r="H49" s="2" t="str">
        <f t="shared" si="1"/>
        <v>D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3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3</v>
      </c>
      <c r="F51" s="4">
        <v>0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0</v>
      </c>
      <c r="F52" s="4">
        <v>2</v>
      </c>
      <c r="G52" s="3" t="s">
        <v>59</v>
      </c>
      <c r="H52" s="2" t="str">
        <f t="shared" si="1"/>
        <v>A</v>
      </c>
      <c r="J52">
        <v>0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3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2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1</v>
      </c>
      <c r="F55" s="4">
        <v>1</v>
      </c>
      <c r="G55" s="3" t="s">
        <v>58</v>
      </c>
      <c r="H55" s="2" t="str">
        <f t="shared" si="1"/>
        <v>D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1</v>
      </c>
      <c r="F56" s="4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2</v>
      </c>
      <c r="F57" s="4">
        <v>0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1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3</v>
      </c>
      <c r="F59" s="4">
        <v>0</v>
      </c>
      <c r="G59" s="3" t="s">
        <v>64</v>
      </c>
      <c r="H59" s="2" t="str">
        <f t="shared" si="1"/>
        <v>H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1</v>
      </c>
      <c r="F60" s="4">
        <v>1</v>
      </c>
      <c r="G60" s="3" t="s">
        <v>63</v>
      </c>
      <c r="H60" s="2" t="str">
        <f t="shared" si="1"/>
        <v>D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0</v>
      </c>
      <c r="F61" s="4">
        <v>2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2</v>
      </c>
      <c r="F62" s="4">
        <v>0</v>
      </c>
      <c r="G62" s="3" t="s">
        <v>64</v>
      </c>
      <c r="H62" s="2" t="str">
        <f t="shared" si="1"/>
        <v>H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0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2</v>
      </c>
      <c r="F64" s="4">
        <v>0</v>
      </c>
      <c r="G64" s="3" t="s">
        <v>71</v>
      </c>
      <c r="H64" s="2" t="str">
        <f t="shared" si="1"/>
        <v>H</v>
      </c>
      <c r="J64">
        <v>1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2</v>
      </c>
      <c r="F65" s="4">
        <v>1</v>
      </c>
      <c r="G65" s="3" t="s">
        <v>70</v>
      </c>
      <c r="H65" s="2" t="str">
        <f t="shared" si="1"/>
        <v>H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1</v>
      </c>
      <c r="F66" s="4">
        <v>1</v>
      </c>
      <c r="G66" s="3" t="s">
        <v>69</v>
      </c>
      <c r="H66" s="2" t="str">
        <f t="shared" si="1"/>
        <v>D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1</v>
      </c>
      <c r="F67" s="4">
        <v>2</v>
      </c>
      <c r="G67" s="3" t="s">
        <v>70</v>
      </c>
      <c r="H67" s="2" t="str">
        <f t="shared" si="1"/>
        <v>A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0</v>
      </c>
      <c r="F68" s="4">
        <v>3</v>
      </c>
      <c r="G68" s="3" t="s">
        <v>68</v>
      </c>
      <c r="H68" s="2" t="str">
        <f t="shared" si="1"/>
        <v>A</v>
      </c>
      <c r="J68">
        <v>0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3</v>
      </c>
      <c r="F69" s="4">
        <v>0</v>
      </c>
      <c r="G69" s="3" t="s">
        <v>76</v>
      </c>
      <c r="H69" s="2" t="str">
        <f t="shared" si="1"/>
        <v>H</v>
      </c>
      <c r="J69">
        <v>1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1</v>
      </c>
      <c r="F70" s="4">
        <v>2</v>
      </c>
      <c r="G70" s="3" t="s">
        <v>78</v>
      </c>
      <c r="H70" s="2" t="str">
        <f t="shared" si="1"/>
        <v>A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2</v>
      </c>
      <c r="F71" s="4">
        <v>0</v>
      </c>
      <c r="G71" s="3" t="s">
        <v>77</v>
      </c>
      <c r="H71" s="2" t="str">
        <f t="shared" si="1"/>
        <v>H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2</v>
      </c>
      <c r="F72" s="4">
        <v>0</v>
      </c>
      <c r="G72" s="3" t="s">
        <v>76</v>
      </c>
      <c r="H72" s="2" t="str">
        <f t="shared" si="1"/>
        <v>H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1</v>
      </c>
      <c r="F73" s="4">
        <v>2</v>
      </c>
      <c r="G73" s="3" t="s">
        <v>75</v>
      </c>
      <c r="H73" s="2" t="str">
        <f t="shared" ref="H73:H80" si="2">IF(AND(E73&lt;&gt;"",F73&lt;&gt;""),IF(E73&gt;F73,"H",IF(E73&lt;F73,"A","D")),"")</f>
        <v>A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1</v>
      </c>
      <c r="F74" s="4">
        <v>1</v>
      </c>
      <c r="G74" s="3" t="s">
        <v>77</v>
      </c>
      <c r="H74" s="2" t="str">
        <f t="shared" si="2"/>
        <v>D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1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2</v>
      </c>
      <c r="F76" s="4">
        <v>0</v>
      </c>
      <c r="G76" s="3" t="s">
        <v>84</v>
      </c>
      <c r="H76" s="2" t="str">
        <f t="shared" si="2"/>
        <v>H</v>
      </c>
      <c r="J76">
        <v>1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2</v>
      </c>
      <c r="F77" s="4">
        <v>1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0</v>
      </c>
      <c r="F78" s="4">
        <v>2</v>
      </c>
      <c r="G78" s="3" t="s">
        <v>82</v>
      </c>
      <c r="H78" s="2" t="str">
        <f t="shared" si="2"/>
        <v>A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0</v>
      </c>
      <c r="F79" s="4">
        <v>3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1</v>
      </c>
      <c r="F80" s="4">
        <v>1</v>
      </c>
      <c r="G80" s="3" t="s">
        <v>83</v>
      </c>
      <c r="H80" s="2" t="str">
        <f t="shared" si="2"/>
        <v>D</v>
      </c>
    </row>
    <row r="82" spans="10:10" x14ac:dyDescent="0.35">
      <c r="J82">
        <f>SUM(J9:J80)</f>
        <v>13</v>
      </c>
    </row>
  </sheetData>
  <pageMargins left="0.75" right="0.75" top="1" bottom="1" header="0.5" footer="0.5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480B-FFD1-4B30-B8A2-A40C3D0E7D81}">
  <sheetPr>
    <tabColor theme="8" tint="0.39997558519241921"/>
  </sheetPr>
  <dimension ref="A5:Q42"/>
  <sheetViews>
    <sheetView zoomScale="90" zoomScaleNormal="90" workbookViewId="0">
      <selection activeCell="H19" sqref="H19"/>
    </sheetView>
  </sheetViews>
  <sheetFormatPr defaultRowHeight="14.5" x14ac:dyDescent="0.35"/>
  <cols>
    <col min="1" max="1" width="3.26953125" customWidth="1"/>
    <col min="2" max="2" width="20.6328125" customWidth="1"/>
    <col min="3" max="3" width="1.7265625" customWidth="1"/>
    <col min="4" max="4" width="3.26953125" customWidth="1"/>
    <col min="5" max="5" width="20.6328125" customWidth="1"/>
    <col min="6" max="6" width="1.7265625" customWidth="1"/>
    <col min="7" max="7" width="3.26953125" customWidth="1"/>
    <col min="8" max="8" width="20.6328125" customWidth="1"/>
    <col min="9" max="9" width="1.7265625" customWidth="1"/>
    <col min="10" max="10" width="3.26953125" customWidth="1"/>
    <col min="11" max="11" width="20.6328125" customWidth="1"/>
    <col min="12" max="12" width="1.7265625" customWidth="1"/>
    <col min="13" max="13" width="3.26953125" customWidth="1"/>
    <col min="14" max="14" width="20.6328125" customWidth="1"/>
    <col min="15" max="15" width="1.7265625" customWidth="1"/>
    <col min="16" max="16" width="3.26953125" customWidth="1"/>
    <col min="17" max="17" width="20.6328125" customWidth="1"/>
  </cols>
  <sheetData>
    <row r="5" spans="1:17" x14ac:dyDescent="0.35">
      <c r="P5" s="5"/>
    </row>
    <row r="8" spans="1:17" s="8" customFormat="1" ht="15.5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s="11" t="s">
        <v>10</v>
      </c>
      <c r="D10" s="10">
        <v>1</v>
      </c>
      <c r="E10" s="11" t="s">
        <v>10</v>
      </c>
      <c r="G10" s="10">
        <v>1</v>
      </c>
      <c r="H10" s="11" t="s">
        <v>24</v>
      </c>
      <c r="J10" s="10">
        <v>1</v>
      </c>
      <c r="K10" s="11" t="s">
        <v>43</v>
      </c>
      <c r="M10" s="10">
        <v>1</v>
      </c>
      <c r="N10" s="11" t="s">
        <v>43</v>
      </c>
      <c r="P10" s="10">
        <v>1</v>
      </c>
      <c r="Q10" s="11" t="s">
        <v>43</v>
      </c>
    </row>
    <row r="11" spans="1:17" s="9" customFormat="1" x14ac:dyDescent="0.35">
      <c r="A11" s="10">
        <f t="shared" ref="A11:A41" si="0">A10+1</f>
        <v>2</v>
      </c>
      <c r="B11" s="11" t="s">
        <v>12</v>
      </c>
      <c r="D11" s="10">
        <f t="shared" ref="D11:D25" si="1">D10+1</f>
        <v>2</v>
      </c>
      <c r="E11" s="11" t="s">
        <v>22</v>
      </c>
      <c r="G11" s="10">
        <f t="shared" ref="G11:G17" si="2">G10+1</f>
        <v>2</v>
      </c>
      <c r="H11" s="11" t="s">
        <v>43</v>
      </c>
      <c r="J11" s="10">
        <f>J10+1</f>
        <v>2</v>
      </c>
      <c r="K11" s="11" t="s">
        <v>62</v>
      </c>
      <c r="M11" s="10">
        <f>M10+1</f>
        <v>2</v>
      </c>
      <c r="N11" s="11" t="s">
        <v>62</v>
      </c>
    </row>
    <row r="12" spans="1:17" s="9" customFormat="1" x14ac:dyDescent="0.35">
      <c r="A12" s="10">
        <f t="shared" si="0"/>
        <v>3</v>
      </c>
      <c r="B12" s="11" t="s">
        <v>22</v>
      </c>
      <c r="D12" s="10">
        <f t="shared" si="1"/>
        <v>3</v>
      </c>
      <c r="E12" s="11" t="s">
        <v>24</v>
      </c>
      <c r="G12" s="10">
        <f t="shared" si="2"/>
        <v>3</v>
      </c>
      <c r="H12" s="11" t="s">
        <v>56</v>
      </c>
      <c r="J12" s="10">
        <f>J11+1</f>
        <v>3</v>
      </c>
      <c r="K12" s="11" t="s">
        <v>24</v>
      </c>
    </row>
    <row r="13" spans="1:17" s="9" customFormat="1" x14ac:dyDescent="0.35">
      <c r="A13" s="10">
        <f t="shared" si="0"/>
        <v>4</v>
      </c>
      <c r="B13" s="11" t="s">
        <v>18</v>
      </c>
      <c r="D13" s="10">
        <f t="shared" si="1"/>
        <v>4</v>
      </c>
      <c r="E13" s="11" t="s">
        <v>30</v>
      </c>
      <c r="G13" s="10">
        <f t="shared" si="2"/>
        <v>4</v>
      </c>
      <c r="H13" s="11" t="s">
        <v>62</v>
      </c>
      <c r="J13" s="10">
        <f>J12+1</f>
        <v>4</v>
      </c>
      <c r="K13" s="11" t="s">
        <v>68</v>
      </c>
    </row>
    <row r="14" spans="1:17" s="9" customFormat="1" x14ac:dyDescent="0.35">
      <c r="A14" s="10">
        <f t="shared" si="0"/>
        <v>5</v>
      </c>
      <c r="B14" s="11" t="s">
        <v>24</v>
      </c>
      <c r="D14" s="10">
        <f t="shared" si="1"/>
        <v>5</v>
      </c>
      <c r="E14" s="11" t="s">
        <v>37</v>
      </c>
      <c r="G14" s="10">
        <f t="shared" si="2"/>
        <v>5</v>
      </c>
      <c r="H14" s="11" t="s">
        <v>68</v>
      </c>
    </row>
    <row r="15" spans="1:17" s="9" customFormat="1" x14ac:dyDescent="0.35">
      <c r="A15" s="10">
        <f t="shared" si="0"/>
        <v>6</v>
      </c>
      <c r="B15" s="11" t="s">
        <v>25</v>
      </c>
      <c r="D15" s="10">
        <f t="shared" si="1"/>
        <v>6</v>
      </c>
      <c r="E15" s="11" t="s">
        <v>43</v>
      </c>
      <c r="G15" s="10">
        <f t="shared" si="2"/>
        <v>6</v>
      </c>
      <c r="H15" s="11" t="s">
        <v>75</v>
      </c>
    </row>
    <row r="16" spans="1:17" s="9" customFormat="1" x14ac:dyDescent="0.35">
      <c r="A16" s="10">
        <f t="shared" si="0"/>
        <v>7</v>
      </c>
      <c r="B16" s="11" t="s">
        <v>24</v>
      </c>
      <c r="D16" s="10">
        <f t="shared" si="1"/>
        <v>7</v>
      </c>
      <c r="E16" s="11" t="s">
        <v>49</v>
      </c>
      <c r="G16" s="10">
        <f t="shared" si="2"/>
        <v>7</v>
      </c>
      <c r="H16" s="11" t="s">
        <v>81</v>
      </c>
    </row>
    <row r="17" spans="1:11" s="9" customFormat="1" x14ac:dyDescent="0.35">
      <c r="A17" s="10">
        <f t="shared" si="0"/>
        <v>8</v>
      </c>
      <c r="B17" s="11" t="s">
        <v>33</v>
      </c>
      <c r="D17" s="10">
        <f t="shared" si="1"/>
        <v>8</v>
      </c>
      <c r="E17" s="11" t="s">
        <v>56</v>
      </c>
      <c r="G17" s="10">
        <f t="shared" si="2"/>
        <v>8</v>
      </c>
      <c r="H17" s="11" t="s">
        <v>37</v>
      </c>
    </row>
    <row r="18" spans="1:11" s="9" customFormat="1" x14ac:dyDescent="0.35">
      <c r="A18" s="10">
        <f t="shared" si="0"/>
        <v>9</v>
      </c>
      <c r="B18" s="11" t="s">
        <v>37</v>
      </c>
      <c r="D18" s="10">
        <f t="shared" si="1"/>
        <v>9</v>
      </c>
      <c r="E18" s="11" t="s">
        <v>62</v>
      </c>
    </row>
    <row r="19" spans="1:11" s="9" customFormat="1" x14ac:dyDescent="0.35">
      <c r="A19" s="10">
        <f t="shared" si="0"/>
        <v>10</v>
      </c>
      <c r="B19" s="11" t="s">
        <v>196</v>
      </c>
      <c r="D19" s="10">
        <f t="shared" si="1"/>
        <v>10</v>
      </c>
      <c r="E19" s="11" t="s">
        <v>68</v>
      </c>
    </row>
    <row r="20" spans="1:11" s="9" customFormat="1" x14ac:dyDescent="0.35">
      <c r="A20" s="10">
        <f t="shared" si="0"/>
        <v>11</v>
      </c>
      <c r="B20" s="11" t="s">
        <v>43</v>
      </c>
      <c r="D20" s="10">
        <f t="shared" si="1"/>
        <v>11</v>
      </c>
      <c r="E20" s="11" t="s">
        <v>371</v>
      </c>
      <c r="H20" s="12" t="s">
        <v>110</v>
      </c>
    </row>
    <row r="21" spans="1:11" s="9" customFormat="1" x14ac:dyDescent="0.35">
      <c r="A21" s="10">
        <f t="shared" si="0"/>
        <v>12</v>
      </c>
      <c r="B21" s="11" t="s">
        <v>45</v>
      </c>
      <c r="D21" s="10">
        <f t="shared" si="1"/>
        <v>12</v>
      </c>
      <c r="E21" s="11" t="s">
        <v>81</v>
      </c>
    </row>
    <row r="22" spans="1:11" s="9" customFormat="1" x14ac:dyDescent="0.35">
      <c r="A22" s="10">
        <f t="shared" si="0"/>
        <v>13</v>
      </c>
      <c r="B22" s="11" t="s">
        <v>370</v>
      </c>
      <c r="D22" s="10">
        <f t="shared" si="1"/>
        <v>13</v>
      </c>
      <c r="E22" s="11" t="s">
        <v>25</v>
      </c>
      <c r="H22" s="9" t="s">
        <v>113</v>
      </c>
      <c r="K22" s="11" t="s">
        <v>369</v>
      </c>
    </row>
    <row r="23" spans="1:11" s="9" customFormat="1" x14ac:dyDescent="0.35">
      <c r="A23" s="10">
        <f t="shared" si="0"/>
        <v>14</v>
      </c>
      <c r="B23" s="11" t="s">
        <v>50</v>
      </c>
      <c r="D23" s="10">
        <f t="shared" si="1"/>
        <v>14</v>
      </c>
      <c r="E23" s="11" t="s">
        <v>40</v>
      </c>
      <c r="H23" s="9" t="s">
        <v>116</v>
      </c>
      <c r="K23" s="11" t="s">
        <v>59</v>
      </c>
    </row>
    <row r="24" spans="1:11" s="9" customFormat="1" x14ac:dyDescent="0.35">
      <c r="A24" s="10">
        <f t="shared" si="0"/>
        <v>15</v>
      </c>
      <c r="B24" s="11" t="s">
        <v>56</v>
      </c>
      <c r="D24" s="10">
        <f t="shared" si="1"/>
        <v>15</v>
      </c>
      <c r="E24" s="11" t="s">
        <v>82</v>
      </c>
      <c r="H24" s="9" t="s">
        <v>119</v>
      </c>
      <c r="K24" s="11" t="s">
        <v>368</v>
      </c>
    </row>
    <row r="25" spans="1:11" s="9" customFormat="1" x14ac:dyDescent="0.35">
      <c r="A25" s="10">
        <f t="shared" si="0"/>
        <v>16</v>
      </c>
      <c r="B25" s="11" t="s">
        <v>59</v>
      </c>
      <c r="D25" s="10">
        <f t="shared" si="1"/>
        <v>16</v>
      </c>
      <c r="E25" s="11" t="s">
        <v>196</v>
      </c>
    </row>
    <row r="26" spans="1:11" s="9" customFormat="1" x14ac:dyDescent="0.35">
      <c r="A26" s="10">
        <f t="shared" si="0"/>
        <v>17</v>
      </c>
      <c r="B26" s="11" t="s">
        <v>62</v>
      </c>
      <c r="H26" s="9" t="s">
        <v>122</v>
      </c>
      <c r="K26" s="13">
        <v>172</v>
      </c>
    </row>
    <row r="27" spans="1:11" s="9" customFormat="1" x14ac:dyDescent="0.35">
      <c r="A27" s="10">
        <f t="shared" si="0"/>
        <v>18</v>
      </c>
      <c r="B27" s="11" t="s">
        <v>63</v>
      </c>
      <c r="H27" s="9" t="s">
        <v>124</v>
      </c>
    </row>
    <row r="28" spans="1:11" x14ac:dyDescent="0.35">
      <c r="A28" s="10">
        <f t="shared" si="0"/>
        <v>19</v>
      </c>
      <c r="B28" s="11" t="s">
        <v>68</v>
      </c>
    </row>
    <row r="29" spans="1:11" x14ac:dyDescent="0.35">
      <c r="A29" s="10">
        <f t="shared" si="0"/>
        <v>20</v>
      </c>
      <c r="B29" s="11" t="s">
        <v>70</v>
      </c>
    </row>
    <row r="30" spans="1:11" x14ac:dyDescent="0.35">
      <c r="A30" s="10">
        <f t="shared" si="0"/>
        <v>21</v>
      </c>
      <c r="B30" s="11" t="s">
        <v>75</v>
      </c>
    </row>
    <row r="31" spans="1:11" x14ac:dyDescent="0.35">
      <c r="A31" s="10">
        <f t="shared" si="0"/>
        <v>22</v>
      </c>
      <c r="B31" s="11" t="s">
        <v>78</v>
      </c>
    </row>
    <row r="32" spans="1:11" x14ac:dyDescent="0.35">
      <c r="A32" s="10">
        <f t="shared" si="0"/>
        <v>23</v>
      </c>
      <c r="B32" s="11" t="s">
        <v>81</v>
      </c>
    </row>
    <row r="33" spans="1:2" x14ac:dyDescent="0.35">
      <c r="A33" s="10">
        <f t="shared" si="0"/>
        <v>24</v>
      </c>
      <c r="B33" s="11" t="s">
        <v>82</v>
      </c>
    </row>
    <row r="34" spans="1:2" x14ac:dyDescent="0.35">
      <c r="A34" s="10">
        <f t="shared" si="0"/>
        <v>25</v>
      </c>
      <c r="B34" s="11" t="s">
        <v>147</v>
      </c>
    </row>
    <row r="35" spans="1:2" x14ac:dyDescent="0.35">
      <c r="A35" s="10">
        <f t="shared" si="0"/>
        <v>26</v>
      </c>
      <c r="B35" s="11" t="s">
        <v>367</v>
      </c>
    </row>
    <row r="36" spans="1:2" x14ac:dyDescent="0.35">
      <c r="A36" s="10">
        <f t="shared" si="0"/>
        <v>27</v>
      </c>
      <c r="B36" s="11" t="s">
        <v>27</v>
      </c>
    </row>
    <row r="37" spans="1:2" x14ac:dyDescent="0.35">
      <c r="A37" s="10">
        <f t="shared" si="0"/>
        <v>28</v>
      </c>
      <c r="B37" s="11" t="s">
        <v>31</v>
      </c>
    </row>
    <row r="38" spans="1:2" x14ac:dyDescent="0.35">
      <c r="A38" s="10">
        <f t="shared" si="0"/>
        <v>29</v>
      </c>
      <c r="B38" s="11" t="s">
        <v>40</v>
      </c>
    </row>
    <row r="39" spans="1:2" x14ac:dyDescent="0.35">
      <c r="A39" s="10">
        <f t="shared" si="0"/>
        <v>30</v>
      </c>
      <c r="B39" s="11" t="s">
        <v>51</v>
      </c>
    </row>
    <row r="40" spans="1:2" x14ac:dyDescent="0.35">
      <c r="A40" s="10">
        <f t="shared" si="0"/>
        <v>31</v>
      </c>
      <c r="B40" s="11" t="s">
        <v>65</v>
      </c>
    </row>
    <row r="41" spans="1:2" x14ac:dyDescent="0.35">
      <c r="A41" s="10">
        <f t="shared" si="0"/>
        <v>32</v>
      </c>
      <c r="B41" s="11" t="s">
        <v>83</v>
      </c>
    </row>
    <row r="42" spans="1:2" x14ac:dyDescent="0.35">
      <c r="A42" s="10"/>
    </row>
  </sheetData>
  <pageMargins left="0.75" right="0.75" top="1" bottom="1" header="0.5" footer="0.5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F3A6-659B-41D5-9307-62EAA76E533F}">
  <sheetPr>
    <tabColor theme="8" tint="0.39997558519241921"/>
  </sheetPr>
  <dimension ref="A8:J82"/>
  <sheetViews>
    <sheetView topLeftCell="A65" workbookViewId="0">
      <selection activeCell="J83" sqref="J83"/>
    </sheetView>
  </sheetViews>
  <sheetFormatPr defaultRowHeight="14.5" x14ac:dyDescent="0.35"/>
  <cols>
    <col min="1" max="1" width="5" customWidth="1"/>
    <col min="2" max="2" width="12" customWidth="1"/>
    <col min="3" max="3" width="7" customWidth="1"/>
    <col min="4" max="4" width="20" customWidth="1"/>
    <col min="5" max="6" width="5" customWidth="1"/>
    <col min="7" max="7" width="20" customWidth="1"/>
    <col min="8" max="8" width="5" hidden="1" customWidth="1"/>
    <col min="9" max="9" width="3.26953125" customWidth="1"/>
  </cols>
  <sheetData>
    <row r="8" spans="1:10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10" x14ac:dyDescent="0.35">
      <c r="A9" s="2">
        <v>1</v>
      </c>
      <c r="B9" s="2" t="s">
        <v>8</v>
      </c>
      <c r="C9" s="2" t="s">
        <v>9</v>
      </c>
      <c r="D9" s="3" t="s">
        <v>10</v>
      </c>
      <c r="E9" s="4">
        <v>3</v>
      </c>
      <c r="F9" s="4">
        <v>1</v>
      </c>
      <c r="G9" s="3" t="s">
        <v>11</v>
      </c>
      <c r="H9" s="2" t="str">
        <f t="shared" ref="H9:H40" si="0">IF(AND(E9&lt;&gt;"",F9&lt;&gt;""),IF(E9&gt;F9,"H",IF(E9&lt;F9,"A","D")),"")</f>
        <v>H</v>
      </c>
      <c r="J9">
        <v>1</v>
      </c>
    </row>
    <row r="10" spans="1:10" x14ac:dyDescent="0.35">
      <c r="A10" s="2">
        <v>2</v>
      </c>
      <c r="B10" s="2" t="s">
        <v>8</v>
      </c>
      <c r="C10" s="2" t="s">
        <v>9</v>
      </c>
      <c r="D10" s="3" t="s">
        <v>12</v>
      </c>
      <c r="E10" s="4">
        <v>1</v>
      </c>
      <c r="F10" s="4">
        <v>1</v>
      </c>
      <c r="G10" s="3" t="s">
        <v>13</v>
      </c>
      <c r="H10" s="2" t="str">
        <f t="shared" si="0"/>
        <v>D</v>
      </c>
      <c r="J10">
        <v>0</v>
      </c>
    </row>
    <row r="11" spans="1:10" x14ac:dyDescent="0.35">
      <c r="A11" s="2">
        <v>3</v>
      </c>
      <c r="B11" s="2" t="s">
        <v>14</v>
      </c>
      <c r="C11" s="2" t="s">
        <v>9</v>
      </c>
      <c r="D11" s="3" t="s">
        <v>13</v>
      </c>
      <c r="E11" s="4">
        <v>1</v>
      </c>
      <c r="F11" s="4">
        <v>2</v>
      </c>
      <c r="G11" s="3" t="s">
        <v>11</v>
      </c>
      <c r="H11" s="2" t="str">
        <f t="shared" si="0"/>
        <v>A</v>
      </c>
    </row>
    <row r="12" spans="1:10" x14ac:dyDescent="0.35">
      <c r="A12" s="2">
        <v>4</v>
      </c>
      <c r="B12" s="2" t="s">
        <v>14</v>
      </c>
      <c r="C12" s="2" t="s">
        <v>9</v>
      </c>
      <c r="D12" s="3" t="s">
        <v>10</v>
      </c>
      <c r="E12" s="4">
        <v>2</v>
      </c>
      <c r="F12" s="4">
        <v>1</v>
      </c>
      <c r="G12" s="3" t="s">
        <v>12</v>
      </c>
      <c r="H12" s="2" t="str">
        <f t="shared" si="0"/>
        <v>H</v>
      </c>
    </row>
    <row r="13" spans="1:10" x14ac:dyDescent="0.35">
      <c r="A13" s="2">
        <v>5</v>
      </c>
      <c r="B13" s="2" t="s">
        <v>15</v>
      </c>
      <c r="C13" s="2" t="s">
        <v>9</v>
      </c>
      <c r="D13" s="3" t="s">
        <v>13</v>
      </c>
      <c r="E13" s="4">
        <v>1</v>
      </c>
      <c r="F13" s="4">
        <v>2</v>
      </c>
      <c r="G13" s="3" t="s">
        <v>10</v>
      </c>
      <c r="H13" s="2" t="str">
        <f t="shared" si="0"/>
        <v>A</v>
      </c>
    </row>
    <row r="14" spans="1:10" x14ac:dyDescent="0.35">
      <c r="A14" s="2">
        <v>6</v>
      </c>
      <c r="B14" s="2" t="s">
        <v>15</v>
      </c>
      <c r="C14" s="2" t="s">
        <v>9</v>
      </c>
      <c r="D14" s="3" t="s">
        <v>11</v>
      </c>
      <c r="E14" s="4">
        <v>1</v>
      </c>
      <c r="F14" s="4">
        <v>1</v>
      </c>
      <c r="G14" s="3" t="s">
        <v>12</v>
      </c>
      <c r="H14" s="2" t="str">
        <f t="shared" si="0"/>
        <v>D</v>
      </c>
    </row>
    <row r="15" spans="1:10" x14ac:dyDescent="0.35">
      <c r="A15" s="2">
        <v>7</v>
      </c>
      <c r="B15" s="2" t="s">
        <v>16</v>
      </c>
      <c r="C15" s="2" t="s">
        <v>17</v>
      </c>
      <c r="D15" s="3" t="s">
        <v>18</v>
      </c>
      <c r="E15" s="4">
        <v>2</v>
      </c>
      <c r="F15" s="4">
        <v>0</v>
      </c>
      <c r="G15" s="3" t="s">
        <v>19</v>
      </c>
      <c r="H15" s="2" t="str">
        <f t="shared" si="0"/>
        <v>H</v>
      </c>
      <c r="J15">
        <v>0</v>
      </c>
    </row>
    <row r="16" spans="1:10" x14ac:dyDescent="0.35">
      <c r="A16" s="2">
        <v>8</v>
      </c>
      <c r="B16" s="2" t="s">
        <v>20</v>
      </c>
      <c r="C16" s="2" t="s">
        <v>17</v>
      </c>
      <c r="D16" s="3" t="s">
        <v>21</v>
      </c>
      <c r="E16" s="4">
        <v>0</v>
      </c>
      <c r="F16" s="4">
        <v>2</v>
      </c>
      <c r="G16" s="3" t="s">
        <v>22</v>
      </c>
      <c r="H16" s="2" t="str">
        <f t="shared" si="0"/>
        <v>A</v>
      </c>
      <c r="J16">
        <v>0</v>
      </c>
    </row>
    <row r="17" spans="1:10" x14ac:dyDescent="0.35">
      <c r="A17" s="2">
        <v>9</v>
      </c>
      <c r="B17" s="2" t="s">
        <v>14</v>
      </c>
      <c r="C17" s="2" t="s">
        <v>17</v>
      </c>
      <c r="D17" s="3" t="s">
        <v>22</v>
      </c>
      <c r="E17" s="4">
        <v>1</v>
      </c>
      <c r="F17" s="4">
        <v>1</v>
      </c>
      <c r="G17" s="3" t="s">
        <v>19</v>
      </c>
      <c r="H17" s="2" t="str">
        <f t="shared" si="0"/>
        <v>D</v>
      </c>
    </row>
    <row r="18" spans="1:10" x14ac:dyDescent="0.35">
      <c r="A18" s="2">
        <v>10</v>
      </c>
      <c r="B18" s="2" t="s">
        <v>14</v>
      </c>
      <c r="C18" s="2" t="s">
        <v>17</v>
      </c>
      <c r="D18" s="3" t="s">
        <v>18</v>
      </c>
      <c r="E18" s="4">
        <v>3</v>
      </c>
      <c r="F18" s="4">
        <v>0</v>
      </c>
      <c r="G18" s="3" t="s">
        <v>21</v>
      </c>
      <c r="H18" s="2" t="str">
        <f t="shared" si="0"/>
        <v>H</v>
      </c>
    </row>
    <row r="19" spans="1:10" x14ac:dyDescent="0.35">
      <c r="A19" s="2">
        <v>11</v>
      </c>
      <c r="B19" s="2" t="s">
        <v>15</v>
      </c>
      <c r="C19" s="2" t="s">
        <v>17</v>
      </c>
      <c r="D19" s="3" t="s">
        <v>22</v>
      </c>
      <c r="E19" s="4">
        <v>1</v>
      </c>
      <c r="F19" s="4">
        <v>2</v>
      </c>
      <c r="G19" s="3" t="s">
        <v>18</v>
      </c>
      <c r="H19" s="2" t="str">
        <f t="shared" si="0"/>
        <v>A</v>
      </c>
    </row>
    <row r="20" spans="1:10" x14ac:dyDescent="0.35">
      <c r="A20" s="2">
        <v>12</v>
      </c>
      <c r="B20" s="2" t="s">
        <v>15</v>
      </c>
      <c r="C20" s="2" t="s">
        <v>17</v>
      </c>
      <c r="D20" s="3" t="s">
        <v>19</v>
      </c>
      <c r="E20" s="4">
        <v>2</v>
      </c>
      <c r="F20" s="4">
        <v>1</v>
      </c>
      <c r="G20" s="3" t="s">
        <v>21</v>
      </c>
      <c r="H20" s="2" t="str">
        <f t="shared" si="0"/>
        <v>H</v>
      </c>
    </row>
    <row r="21" spans="1:10" x14ac:dyDescent="0.35">
      <c r="A21" s="2">
        <v>13</v>
      </c>
      <c r="B21" s="2" t="s">
        <v>20</v>
      </c>
      <c r="C21" s="2" t="s">
        <v>23</v>
      </c>
      <c r="D21" s="3" t="s">
        <v>24</v>
      </c>
      <c r="E21" s="4">
        <v>3</v>
      </c>
      <c r="F21" s="4">
        <v>1</v>
      </c>
      <c r="G21" s="3" t="s">
        <v>25</v>
      </c>
      <c r="H21" s="2" t="str">
        <f t="shared" si="0"/>
        <v>H</v>
      </c>
      <c r="J21">
        <v>0</v>
      </c>
    </row>
    <row r="22" spans="1:10" x14ac:dyDescent="0.35">
      <c r="A22" s="2">
        <v>14</v>
      </c>
      <c r="B22" s="2" t="s">
        <v>20</v>
      </c>
      <c r="C22" s="2" t="s">
        <v>23</v>
      </c>
      <c r="D22" s="3" t="s">
        <v>26</v>
      </c>
      <c r="E22" s="4">
        <v>1</v>
      </c>
      <c r="F22" s="4">
        <v>1</v>
      </c>
      <c r="G22" s="3" t="s">
        <v>27</v>
      </c>
      <c r="H22" s="2" t="str">
        <f t="shared" si="0"/>
        <v>D</v>
      </c>
      <c r="J22">
        <v>0</v>
      </c>
    </row>
    <row r="23" spans="1:10" x14ac:dyDescent="0.35">
      <c r="A23" s="2">
        <v>15</v>
      </c>
      <c r="B23" s="2" t="s">
        <v>28</v>
      </c>
      <c r="C23" s="2" t="s">
        <v>23</v>
      </c>
      <c r="D23" s="3" t="s">
        <v>27</v>
      </c>
      <c r="E23" s="4">
        <v>1</v>
      </c>
      <c r="F23" s="4">
        <v>2</v>
      </c>
      <c r="G23" s="3" t="s">
        <v>25</v>
      </c>
      <c r="H23" s="2" t="str">
        <f t="shared" si="0"/>
        <v>A</v>
      </c>
    </row>
    <row r="24" spans="1:10" x14ac:dyDescent="0.35">
      <c r="A24" s="2">
        <v>16</v>
      </c>
      <c r="B24" s="2" t="s">
        <v>28</v>
      </c>
      <c r="C24" s="2" t="s">
        <v>23</v>
      </c>
      <c r="D24" s="3" t="s">
        <v>24</v>
      </c>
      <c r="E24" s="4">
        <v>4</v>
      </c>
      <c r="F24" s="4">
        <v>0</v>
      </c>
      <c r="G24" s="3" t="s">
        <v>26</v>
      </c>
      <c r="H24" s="2" t="str">
        <f t="shared" si="0"/>
        <v>H</v>
      </c>
    </row>
    <row r="25" spans="1:10" x14ac:dyDescent="0.35">
      <c r="A25" s="2">
        <v>17</v>
      </c>
      <c r="B25" s="2" t="s">
        <v>15</v>
      </c>
      <c r="C25" s="2" t="s">
        <v>23</v>
      </c>
      <c r="D25" s="3" t="s">
        <v>27</v>
      </c>
      <c r="E25" s="4">
        <v>2</v>
      </c>
      <c r="F25" s="4">
        <v>0</v>
      </c>
      <c r="G25" s="3" t="s">
        <v>24</v>
      </c>
      <c r="H25" s="2" t="str">
        <f t="shared" si="0"/>
        <v>H</v>
      </c>
    </row>
    <row r="26" spans="1:10" x14ac:dyDescent="0.35">
      <c r="A26" s="2">
        <v>18</v>
      </c>
      <c r="B26" s="2" t="s">
        <v>15</v>
      </c>
      <c r="C26" s="2" t="s">
        <v>23</v>
      </c>
      <c r="D26" s="3" t="s">
        <v>25</v>
      </c>
      <c r="E26" s="4">
        <v>0</v>
      </c>
      <c r="F26" s="4">
        <v>1</v>
      </c>
      <c r="G26" s="3" t="s">
        <v>26</v>
      </c>
      <c r="H26" s="2" t="str">
        <f t="shared" si="0"/>
        <v>A</v>
      </c>
    </row>
    <row r="27" spans="1:10" x14ac:dyDescent="0.35">
      <c r="A27" s="2">
        <v>19</v>
      </c>
      <c r="B27" s="2" t="s">
        <v>16</v>
      </c>
      <c r="C27" s="2" t="s">
        <v>29</v>
      </c>
      <c r="D27" s="3" t="s">
        <v>30</v>
      </c>
      <c r="E27" s="4">
        <v>2</v>
      </c>
      <c r="F27" s="4">
        <v>0</v>
      </c>
      <c r="G27" s="3" t="s">
        <v>31</v>
      </c>
      <c r="H27" s="2" t="str">
        <f t="shared" si="0"/>
        <v>H</v>
      </c>
      <c r="J27">
        <v>1</v>
      </c>
    </row>
    <row r="28" spans="1:10" x14ac:dyDescent="0.35">
      <c r="A28" s="2">
        <v>20</v>
      </c>
      <c r="B28" s="2" t="s">
        <v>20</v>
      </c>
      <c r="C28" s="2" t="s">
        <v>29</v>
      </c>
      <c r="D28" s="3" t="s">
        <v>32</v>
      </c>
      <c r="E28" s="4">
        <v>1</v>
      </c>
      <c r="F28" s="4">
        <v>1</v>
      </c>
      <c r="G28" s="3" t="s">
        <v>33</v>
      </c>
      <c r="H28" s="2" t="str">
        <f t="shared" si="0"/>
        <v>D</v>
      </c>
      <c r="J28">
        <v>0</v>
      </c>
    </row>
    <row r="29" spans="1:10" x14ac:dyDescent="0.35">
      <c r="A29" s="2">
        <v>21</v>
      </c>
      <c r="B29" s="2" t="s">
        <v>28</v>
      </c>
      <c r="C29" s="2" t="s">
        <v>29</v>
      </c>
      <c r="D29" s="3" t="s">
        <v>30</v>
      </c>
      <c r="E29" s="4">
        <v>2</v>
      </c>
      <c r="F29" s="4">
        <v>1</v>
      </c>
      <c r="G29" s="3" t="s">
        <v>32</v>
      </c>
      <c r="H29" s="2" t="str">
        <f t="shared" si="0"/>
        <v>H</v>
      </c>
    </row>
    <row r="30" spans="1:10" x14ac:dyDescent="0.35">
      <c r="A30" s="2">
        <v>22</v>
      </c>
      <c r="B30" s="2" t="s">
        <v>28</v>
      </c>
      <c r="C30" s="2" t="s">
        <v>29</v>
      </c>
      <c r="D30" s="3" t="s">
        <v>33</v>
      </c>
      <c r="E30" s="4">
        <v>3</v>
      </c>
      <c r="F30" s="4">
        <v>0</v>
      </c>
      <c r="G30" s="3" t="s">
        <v>31</v>
      </c>
      <c r="H30" s="2" t="str">
        <f t="shared" si="0"/>
        <v>H</v>
      </c>
    </row>
    <row r="31" spans="1:10" x14ac:dyDescent="0.35">
      <c r="A31" s="2">
        <v>23</v>
      </c>
      <c r="B31" s="2" t="s">
        <v>34</v>
      </c>
      <c r="C31" s="2" t="s">
        <v>29</v>
      </c>
      <c r="D31" s="3" t="s">
        <v>33</v>
      </c>
      <c r="E31" s="4">
        <v>1</v>
      </c>
      <c r="F31" s="4">
        <v>1</v>
      </c>
      <c r="G31" s="3" t="s">
        <v>30</v>
      </c>
      <c r="H31" s="2" t="str">
        <f t="shared" si="0"/>
        <v>D</v>
      </c>
    </row>
    <row r="32" spans="1:10" x14ac:dyDescent="0.35">
      <c r="A32" s="2">
        <v>24</v>
      </c>
      <c r="B32" s="2" t="s">
        <v>34</v>
      </c>
      <c r="C32" s="2" t="s">
        <v>29</v>
      </c>
      <c r="D32" s="3" t="s">
        <v>31</v>
      </c>
      <c r="E32" s="4">
        <v>2</v>
      </c>
      <c r="F32" s="4">
        <v>0</v>
      </c>
      <c r="G32" s="3" t="s">
        <v>32</v>
      </c>
      <c r="H32" s="2" t="str">
        <f t="shared" si="0"/>
        <v>H</v>
      </c>
    </row>
    <row r="33" spans="1:10" x14ac:dyDescent="0.35">
      <c r="A33" s="2">
        <v>25</v>
      </c>
      <c r="B33" s="2" t="s">
        <v>35</v>
      </c>
      <c r="C33" s="2" t="s">
        <v>36</v>
      </c>
      <c r="D33" s="3" t="s">
        <v>37</v>
      </c>
      <c r="E33" s="4">
        <v>1</v>
      </c>
      <c r="F33" s="4">
        <v>0</v>
      </c>
      <c r="G33" s="3" t="s">
        <v>38</v>
      </c>
      <c r="H33" s="2" t="str">
        <f t="shared" si="0"/>
        <v>H</v>
      </c>
      <c r="J33">
        <v>1</v>
      </c>
    </row>
    <row r="34" spans="1:10" x14ac:dyDescent="0.35">
      <c r="A34" s="2">
        <v>26</v>
      </c>
      <c r="B34" s="2" t="s">
        <v>35</v>
      </c>
      <c r="C34" s="2" t="s">
        <v>36</v>
      </c>
      <c r="D34" s="3" t="s">
        <v>39</v>
      </c>
      <c r="E34" s="4">
        <v>2</v>
      </c>
      <c r="F34" s="4">
        <v>2</v>
      </c>
      <c r="G34" s="3" t="s">
        <v>40</v>
      </c>
      <c r="H34" s="2" t="str">
        <f t="shared" si="0"/>
        <v>D</v>
      </c>
      <c r="J34">
        <v>0</v>
      </c>
    </row>
    <row r="35" spans="1:10" x14ac:dyDescent="0.35">
      <c r="A35" s="2">
        <v>27</v>
      </c>
      <c r="B35" s="2" t="s">
        <v>41</v>
      </c>
      <c r="C35" s="2" t="s">
        <v>36</v>
      </c>
      <c r="D35" s="3" t="s">
        <v>37</v>
      </c>
      <c r="E35" s="4">
        <v>2</v>
      </c>
      <c r="F35" s="4">
        <v>0</v>
      </c>
      <c r="G35" s="3" t="s">
        <v>39</v>
      </c>
      <c r="H35" s="2" t="str">
        <f t="shared" si="0"/>
        <v>H</v>
      </c>
    </row>
    <row r="36" spans="1:10" x14ac:dyDescent="0.35">
      <c r="A36" s="2">
        <v>28</v>
      </c>
      <c r="B36" s="2" t="s">
        <v>41</v>
      </c>
      <c r="C36" s="2" t="s">
        <v>36</v>
      </c>
      <c r="D36" s="3" t="s">
        <v>40</v>
      </c>
      <c r="E36" s="4">
        <v>3</v>
      </c>
      <c r="F36" s="4">
        <v>1</v>
      </c>
      <c r="G36" s="3" t="s">
        <v>38</v>
      </c>
      <c r="H36" s="2" t="str">
        <f t="shared" si="0"/>
        <v>H</v>
      </c>
    </row>
    <row r="37" spans="1:10" x14ac:dyDescent="0.35">
      <c r="A37" s="2">
        <v>29</v>
      </c>
      <c r="B37" s="2" t="s">
        <v>34</v>
      </c>
      <c r="C37" s="2" t="s">
        <v>36</v>
      </c>
      <c r="D37" s="3" t="s">
        <v>40</v>
      </c>
      <c r="E37" s="4">
        <v>1</v>
      </c>
      <c r="F37" s="4">
        <v>1</v>
      </c>
      <c r="G37" s="3" t="s">
        <v>37</v>
      </c>
      <c r="H37" s="2" t="str">
        <f t="shared" si="0"/>
        <v>D</v>
      </c>
    </row>
    <row r="38" spans="1:10" x14ac:dyDescent="0.35">
      <c r="A38" s="2">
        <v>30</v>
      </c>
      <c r="B38" s="2" t="s">
        <v>34</v>
      </c>
      <c r="C38" s="2" t="s">
        <v>36</v>
      </c>
      <c r="D38" s="3" t="s">
        <v>38</v>
      </c>
      <c r="E38" s="4">
        <v>0</v>
      </c>
      <c r="F38" s="4">
        <v>2</v>
      </c>
      <c r="G38" s="3" t="s">
        <v>39</v>
      </c>
      <c r="H38" s="2" t="str">
        <f t="shared" si="0"/>
        <v>A</v>
      </c>
    </row>
    <row r="39" spans="1:10" x14ac:dyDescent="0.35">
      <c r="A39" s="2">
        <v>31</v>
      </c>
      <c r="B39" s="2" t="s">
        <v>35</v>
      </c>
      <c r="C39" s="2" t="s">
        <v>42</v>
      </c>
      <c r="D39" s="3" t="s">
        <v>43</v>
      </c>
      <c r="E39" s="4">
        <v>2</v>
      </c>
      <c r="F39" s="4">
        <v>0</v>
      </c>
      <c r="G39" s="3" t="s">
        <v>44</v>
      </c>
      <c r="H39" s="2" t="str">
        <f t="shared" si="0"/>
        <v>H</v>
      </c>
      <c r="J39">
        <v>0</v>
      </c>
    </row>
    <row r="40" spans="1:10" x14ac:dyDescent="0.35">
      <c r="A40" s="2">
        <v>32</v>
      </c>
      <c r="B40" s="2" t="s">
        <v>35</v>
      </c>
      <c r="C40" s="2" t="s">
        <v>42</v>
      </c>
      <c r="D40" s="3" t="s">
        <v>45</v>
      </c>
      <c r="E40" s="4">
        <v>1</v>
      </c>
      <c r="F40" s="4">
        <v>1</v>
      </c>
      <c r="G40" s="3" t="s">
        <v>46</v>
      </c>
      <c r="H40" s="2" t="str">
        <f t="shared" si="0"/>
        <v>D</v>
      </c>
      <c r="J40">
        <v>0</v>
      </c>
    </row>
    <row r="41" spans="1:10" x14ac:dyDescent="0.35">
      <c r="A41" s="2">
        <v>33</v>
      </c>
      <c r="B41" s="2" t="s">
        <v>41</v>
      </c>
      <c r="C41" s="2" t="s">
        <v>42</v>
      </c>
      <c r="D41" s="3" t="s">
        <v>43</v>
      </c>
      <c r="E41" s="4">
        <v>2</v>
      </c>
      <c r="F41" s="4">
        <v>1</v>
      </c>
      <c r="G41" s="3" t="s">
        <v>45</v>
      </c>
      <c r="H41" s="2" t="str">
        <f t="shared" ref="H41:H72" si="1">IF(AND(E41&lt;&gt;"",F41&lt;&gt;""),IF(E41&gt;F41,"H",IF(E41&lt;F41,"A","D")),"")</f>
        <v>H</v>
      </c>
    </row>
    <row r="42" spans="1:10" x14ac:dyDescent="0.35">
      <c r="A42" s="2">
        <v>34</v>
      </c>
      <c r="B42" s="2" t="s">
        <v>41</v>
      </c>
      <c r="C42" s="2" t="s">
        <v>42</v>
      </c>
      <c r="D42" s="3" t="s">
        <v>46</v>
      </c>
      <c r="E42" s="4">
        <v>3</v>
      </c>
      <c r="F42" s="4">
        <v>0</v>
      </c>
      <c r="G42" s="3" t="s">
        <v>44</v>
      </c>
      <c r="H42" s="2" t="str">
        <f t="shared" si="1"/>
        <v>H</v>
      </c>
    </row>
    <row r="43" spans="1:10" x14ac:dyDescent="0.35">
      <c r="A43" s="2">
        <v>35</v>
      </c>
      <c r="B43" s="2" t="s">
        <v>34</v>
      </c>
      <c r="C43" s="2" t="s">
        <v>42</v>
      </c>
      <c r="D43" s="3" t="s">
        <v>44</v>
      </c>
      <c r="E43" s="4">
        <v>2</v>
      </c>
      <c r="F43" s="4">
        <v>0</v>
      </c>
      <c r="G43" s="3" t="s">
        <v>45</v>
      </c>
      <c r="H43" s="2" t="str">
        <f t="shared" si="1"/>
        <v>H</v>
      </c>
    </row>
    <row r="44" spans="1:10" x14ac:dyDescent="0.35">
      <c r="A44" s="2">
        <v>36</v>
      </c>
      <c r="B44" s="2" t="s">
        <v>34</v>
      </c>
      <c r="C44" s="2" t="s">
        <v>42</v>
      </c>
      <c r="D44" s="3" t="s">
        <v>46</v>
      </c>
      <c r="E44" s="4">
        <v>1</v>
      </c>
      <c r="F44" s="4">
        <v>2</v>
      </c>
      <c r="G44" s="3" t="s">
        <v>43</v>
      </c>
      <c r="H44" s="2" t="str">
        <f t="shared" si="1"/>
        <v>A</v>
      </c>
    </row>
    <row r="45" spans="1:10" x14ac:dyDescent="0.35">
      <c r="A45" s="2">
        <v>37</v>
      </c>
      <c r="B45" s="2" t="s">
        <v>47</v>
      </c>
      <c r="C45" s="2" t="s">
        <v>48</v>
      </c>
      <c r="D45" s="3" t="s">
        <v>49</v>
      </c>
      <c r="E45" s="4">
        <v>1</v>
      </c>
      <c r="F45" s="4">
        <v>0</v>
      </c>
      <c r="G45" s="3" t="s">
        <v>50</v>
      </c>
      <c r="H45" s="2" t="str">
        <f t="shared" si="1"/>
        <v>H</v>
      </c>
      <c r="J45">
        <v>0</v>
      </c>
    </row>
    <row r="46" spans="1:10" x14ac:dyDescent="0.35">
      <c r="A46" s="2">
        <v>38</v>
      </c>
      <c r="B46" s="2" t="s">
        <v>47</v>
      </c>
      <c r="C46" s="2" t="s">
        <v>48</v>
      </c>
      <c r="D46" s="3" t="s">
        <v>51</v>
      </c>
      <c r="E46" s="4">
        <v>0</v>
      </c>
      <c r="F46" s="4">
        <v>2</v>
      </c>
      <c r="G46" s="3" t="s">
        <v>52</v>
      </c>
      <c r="H46" s="2" t="str">
        <f t="shared" si="1"/>
        <v>A</v>
      </c>
      <c r="J46">
        <v>0</v>
      </c>
    </row>
    <row r="47" spans="1:10" x14ac:dyDescent="0.35">
      <c r="A47" s="2">
        <v>39</v>
      </c>
      <c r="B47" s="2" t="s">
        <v>53</v>
      </c>
      <c r="C47" s="2" t="s">
        <v>48</v>
      </c>
      <c r="D47" s="3" t="s">
        <v>49</v>
      </c>
      <c r="E47" s="4">
        <v>1</v>
      </c>
      <c r="F47" s="4">
        <v>1</v>
      </c>
      <c r="G47" s="3" t="s">
        <v>51</v>
      </c>
      <c r="H47" s="2" t="str">
        <f t="shared" si="1"/>
        <v>D</v>
      </c>
    </row>
    <row r="48" spans="1:10" x14ac:dyDescent="0.35">
      <c r="A48" s="2">
        <v>40</v>
      </c>
      <c r="B48" s="2" t="s">
        <v>53</v>
      </c>
      <c r="C48" s="2" t="s">
        <v>48</v>
      </c>
      <c r="D48" s="3" t="s">
        <v>52</v>
      </c>
      <c r="E48" s="4">
        <v>3</v>
      </c>
      <c r="F48" s="4">
        <v>0</v>
      </c>
      <c r="G48" s="3" t="s">
        <v>50</v>
      </c>
      <c r="H48" s="2" t="str">
        <f t="shared" si="1"/>
        <v>H</v>
      </c>
    </row>
    <row r="49" spans="1:10" x14ac:dyDescent="0.35">
      <c r="A49" s="2">
        <v>41</v>
      </c>
      <c r="B49" s="2" t="s">
        <v>54</v>
      </c>
      <c r="C49" s="2" t="s">
        <v>48</v>
      </c>
      <c r="D49" s="3" t="s">
        <v>50</v>
      </c>
      <c r="E49" s="4">
        <v>2</v>
      </c>
      <c r="F49" s="4">
        <v>0</v>
      </c>
      <c r="G49" s="3" t="s">
        <v>51</v>
      </c>
      <c r="H49" s="2" t="str">
        <f t="shared" si="1"/>
        <v>H</v>
      </c>
    </row>
    <row r="50" spans="1:10" x14ac:dyDescent="0.35">
      <c r="A50" s="2">
        <v>42</v>
      </c>
      <c r="B50" s="2" t="s">
        <v>54</v>
      </c>
      <c r="C50" s="2" t="s">
        <v>48</v>
      </c>
      <c r="D50" s="3" t="s">
        <v>52</v>
      </c>
      <c r="E50" s="4">
        <v>0</v>
      </c>
      <c r="F50" s="4">
        <v>1</v>
      </c>
      <c r="G50" s="3" t="s">
        <v>49</v>
      </c>
      <c r="H50" s="2" t="str">
        <f t="shared" si="1"/>
        <v>A</v>
      </c>
    </row>
    <row r="51" spans="1:10" x14ac:dyDescent="0.35">
      <c r="A51" s="2">
        <v>43</v>
      </c>
      <c r="B51" s="2" t="s">
        <v>47</v>
      </c>
      <c r="C51" s="2" t="s">
        <v>55</v>
      </c>
      <c r="D51" s="3" t="s">
        <v>56</v>
      </c>
      <c r="E51" s="4">
        <v>2</v>
      </c>
      <c r="F51" s="4">
        <v>1</v>
      </c>
      <c r="G51" s="3" t="s">
        <v>57</v>
      </c>
      <c r="H51" s="2" t="str">
        <f t="shared" si="1"/>
        <v>H</v>
      </c>
      <c r="J51">
        <v>0</v>
      </c>
    </row>
    <row r="52" spans="1:10" x14ac:dyDescent="0.35">
      <c r="A52" s="2">
        <v>44</v>
      </c>
      <c r="B52" s="2" t="s">
        <v>47</v>
      </c>
      <c r="C52" s="2" t="s">
        <v>55</v>
      </c>
      <c r="D52" s="3" t="s">
        <v>58</v>
      </c>
      <c r="E52" s="4">
        <v>1</v>
      </c>
      <c r="F52" s="4">
        <v>1</v>
      </c>
      <c r="G52" s="3" t="s">
        <v>59</v>
      </c>
      <c r="H52" s="2" t="str">
        <f t="shared" si="1"/>
        <v>D</v>
      </c>
      <c r="J52">
        <v>3</v>
      </c>
    </row>
    <row r="53" spans="1:10" x14ac:dyDescent="0.35">
      <c r="A53" s="2">
        <v>45</v>
      </c>
      <c r="B53" s="2" t="s">
        <v>53</v>
      </c>
      <c r="C53" s="2" t="s">
        <v>55</v>
      </c>
      <c r="D53" s="3" t="s">
        <v>56</v>
      </c>
      <c r="E53" s="4">
        <v>2</v>
      </c>
      <c r="F53" s="4">
        <v>0</v>
      </c>
      <c r="G53" s="3" t="s">
        <v>58</v>
      </c>
      <c r="H53" s="2" t="str">
        <f t="shared" si="1"/>
        <v>H</v>
      </c>
    </row>
    <row r="54" spans="1:10" x14ac:dyDescent="0.35">
      <c r="A54" s="2">
        <v>46</v>
      </c>
      <c r="B54" s="2" t="s">
        <v>53</v>
      </c>
      <c r="C54" s="2" t="s">
        <v>55</v>
      </c>
      <c r="D54" s="3" t="s">
        <v>59</v>
      </c>
      <c r="E54" s="4">
        <v>1</v>
      </c>
      <c r="F54" s="4">
        <v>0</v>
      </c>
      <c r="G54" s="3" t="s">
        <v>57</v>
      </c>
      <c r="H54" s="2" t="str">
        <f t="shared" si="1"/>
        <v>H</v>
      </c>
    </row>
    <row r="55" spans="1:10" x14ac:dyDescent="0.35">
      <c r="A55" s="2">
        <v>47</v>
      </c>
      <c r="B55" s="2" t="s">
        <v>54</v>
      </c>
      <c r="C55" s="2" t="s">
        <v>55</v>
      </c>
      <c r="D55" s="3" t="s">
        <v>57</v>
      </c>
      <c r="E55" s="4">
        <v>2</v>
      </c>
      <c r="F55" s="4">
        <v>1</v>
      </c>
      <c r="G55" s="3" t="s">
        <v>58</v>
      </c>
      <c r="H55" s="2" t="str">
        <f t="shared" si="1"/>
        <v>H</v>
      </c>
    </row>
    <row r="56" spans="1:10" x14ac:dyDescent="0.35">
      <c r="A56" s="2">
        <v>48</v>
      </c>
      <c r="B56" s="2" t="s">
        <v>54</v>
      </c>
      <c r="C56" s="2" t="s">
        <v>55</v>
      </c>
      <c r="D56" s="3" t="s">
        <v>59</v>
      </c>
      <c r="E56" s="4">
        <v>0</v>
      </c>
      <c r="F56" s="4">
        <v>2</v>
      </c>
      <c r="G56" s="3" t="s">
        <v>56</v>
      </c>
      <c r="H56" s="2" t="str">
        <f t="shared" si="1"/>
        <v>A</v>
      </c>
    </row>
    <row r="57" spans="1:10" x14ac:dyDescent="0.35">
      <c r="A57" s="2">
        <v>49</v>
      </c>
      <c r="B57" s="2" t="s">
        <v>60</v>
      </c>
      <c r="C57" s="2" t="s">
        <v>61</v>
      </c>
      <c r="D57" s="3" t="s">
        <v>62</v>
      </c>
      <c r="E57" s="4">
        <v>1</v>
      </c>
      <c r="F57" s="4">
        <v>0</v>
      </c>
      <c r="G57" s="3" t="s">
        <v>63</v>
      </c>
      <c r="H57" s="2" t="str">
        <f t="shared" si="1"/>
        <v>H</v>
      </c>
      <c r="J57">
        <v>1</v>
      </c>
    </row>
    <row r="58" spans="1:10" x14ac:dyDescent="0.35">
      <c r="A58" s="2">
        <v>50</v>
      </c>
      <c r="B58" s="2" t="s">
        <v>60</v>
      </c>
      <c r="C58" s="2" t="s">
        <v>61</v>
      </c>
      <c r="D58" s="3" t="s">
        <v>64</v>
      </c>
      <c r="E58" s="4">
        <v>0</v>
      </c>
      <c r="F58" s="4">
        <v>3</v>
      </c>
      <c r="G58" s="3" t="s">
        <v>65</v>
      </c>
      <c r="H58" s="2" t="str">
        <f t="shared" si="1"/>
        <v>A</v>
      </c>
      <c r="J58">
        <v>1</v>
      </c>
    </row>
    <row r="59" spans="1:10" x14ac:dyDescent="0.35">
      <c r="A59" s="2">
        <v>51</v>
      </c>
      <c r="B59" s="2" t="s">
        <v>66</v>
      </c>
      <c r="C59" s="2" t="s">
        <v>61</v>
      </c>
      <c r="D59" s="3" t="s">
        <v>62</v>
      </c>
      <c r="E59" s="4">
        <v>1</v>
      </c>
      <c r="F59" s="4">
        <v>1</v>
      </c>
      <c r="G59" s="3" t="s">
        <v>64</v>
      </c>
      <c r="H59" s="2" t="str">
        <f t="shared" si="1"/>
        <v>D</v>
      </c>
    </row>
    <row r="60" spans="1:10" x14ac:dyDescent="0.35">
      <c r="A60" s="2">
        <v>52</v>
      </c>
      <c r="B60" s="2" t="s">
        <v>66</v>
      </c>
      <c r="C60" s="2" t="s">
        <v>61</v>
      </c>
      <c r="D60" s="3" t="s">
        <v>65</v>
      </c>
      <c r="E60" s="4">
        <v>2</v>
      </c>
      <c r="F60" s="4">
        <v>0</v>
      </c>
      <c r="G60" s="3" t="s">
        <v>63</v>
      </c>
      <c r="H60" s="2" t="str">
        <f t="shared" si="1"/>
        <v>H</v>
      </c>
    </row>
    <row r="61" spans="1:10" x14ac:dyDescent="0.35">
      <c r="A61" s="2">
        <v>53</v>
      </c>
      <c r="B61" s="2" t="s">
        <v>54</v>
      </c>
      <c r="C61" s="2" t="s">
        <v>61</v>
      </c>
      <c r="D61" s="3" t="s">
        <v>65</v>
      </c>
      <c r="E61" s="4">
        <v>0</v>
      </c>
      <c r="F61" s="4">
        <v>2</v>
      </c>
      <c r="G61" s="3" t="s">
        <v>62</v>
      </c>
      <c r="H61" s="2" t="str">
        <f t="shared" si="1"/>
        <v>A</v>
      </c>
    </row>
    <row r="62" spans="1:10" x14ac:dyDescent="0.35">
      <c r="A62" s="2">
        <v>54</v>
      </c>
      <c r="B62" s="2" t="s">
        <v>54</v>
      </c>
      <c r="C62" s="2" t="s">
        <v>61</v>
      </c>
      <c r="D62" s="3" t="s">
        <v>63</v>
      </c>
      <c r="E62" s="4">
        <v>1</v>
      </c>
      <c r="F62" s="4">
        <v>1</v>
      </c>
      <c r="G62" s="3" t="s">
        <v>64</v>
      </c>
      <c r="H62" s="2" t="str">
        <f t="shared" si="1"/>
        <v>D</v>
      </c>
    </row>
    <row r="63" spans="1:10" x14ac:dyDescent="0.35">
      <c r="A63" s="2">
        <v>55</v>
      </c>
      <c r="B63" s="2" t="s">
        <v>60</v>
      </c>
      <c r="C63" s="2" t="s">
        <v>67</v>
      </c>
      <c r="D63" s="3" t="s">
        <v>68</v>
      </c>
      <c r="E63" s="4">
        <v>2</v>
      </c>
      <c r="F63" s="4">
        <v>1</v>
      </c>
      <c r="G63" s="3" t="s">
        <v>69</v>
      </c>
      <c r="H63" s="2" t="str">
        <f t="shared" si="1"/>
        <v>H</v>
      </c>
      <c r="J63">
        <v>1</v>
      </c>
    </row>
    <row r="64" spans="1:10" x14ac:dyDescent="0.35">
      <c r="A64" s="2">
        <v>56</v>
      </c>
      <c r="B64" s="2" t="s">
        <v>60</v>
      </c>
      <c r="C64" s="2" t="s">
        <v>67</v>
      </c>
      <c r="D64" s="3" t="s">
        <v>70</v>
      </c>
      <c r="E64" s="4">
        <v>0</v>
      </c>
      <c r="F64" s="4">
        <v>0</v>
      </c>
      <c r="G64" s="3" t="s">
        <v>71</v>
      </c>
      <c r="H64" s="2" t="str">
        <f t="shared" si="1"/>
        <v>D</v>
      </c>
      <c r="J64">
        <v>0</v>
      </c>
    </row>
    <row r="65" spans="1:10" x14ac:dyDescent="0.35">
      <c r="A65" s="2">
        <v>57</v>
      </c>
      <c r="B65" s="2" t="s">
        <v>66</v>
      </c>
      <c r="C65" s="2" t="s">
        <v>67</v>
      </c>
      <c r="D65" s="3" t="s">
        <v>68</v>
      </c>
      <c r="E65" s="4">
        <v>1</v>
      </c>
      <c r="F65" s="4">
        <v>2</v>
      </c>
      <c r="G65" s="3" t="s">
        <v>70</v>
      </c>
      <c r="H65" s="2" t="str">
        <f t="shared" si="1"/>
        <v>A</v>
      </c>
    </row>
    <row r="66" spans="1:10" x14ac:dyDescent="0.35">
      <c r="A66" s="2">
        <v>58</v>
      </c>
      <c r="B66" s="2" t="s">
        <v>66</v>
      </c>
      <c r="C66" s="2" t="s">
        <v>67</v>
      </c>
      <c r="D66" s="3" t="s">
        <v>71</v>
      </c>
      <c r="E66" s="4">
        <v>3</v>
      </c>
      <c r="F66" s="4">
        <v>0</v>
      </c>
      <c r="G66" s="3" t="s">
        <v>69</v>
      </c>
      <c r="H66" s="2" t="str">
        <f t="shared" si="1"/>
        <v>H</v>
      </c>
    </row>
    <row r="67" spans="1:10" x14ac:dyDescent="0.35">
      <c r="A67" s="2">
        <v>59</v>
      </c>
      <c r="B67" s="2" t="s">
        <v>72</v>
      </c>
      <c r="C67" s="2" t="s">
        <v>67</v>
      </c>
      <c r="D67" s="3" t="s">
        <v>69</v>
      </c>
      <c r="E67" s="4">
        <v>2</v>
      </c>
      <c r="F67" s="4">
        <v>0</v>
      </c>
      <c r="G67" s="3" t="s">
        <v>70</v>
      </c>
      <c r="H67" s="2" t="str">
        <f t="shared" si="1"/>
        <v>H</v>
      </c>
    </row>
    <row r="68" spans="1:10" x14ac:dyDescent="0.35">
      <c r="A68" s="2">
        <v>60</v>
      </c>
      <c r="B68" s="2" t="s">
        <v>72</v>
      </c>
      <c r="C68" s="2" t="s">
        <v>67</v>
      </c>
      <c r="D68" s="3" t="s">
        <v>71</v>
      </c>
      <c r="E68" s="4">
        <v>1</v>
      </c>
      <c r="F68" s="4">
        <v>1</v>
      </c>
      <c r="G68" s="3" t="s">
        <v>68</v>
      </c>
      <c r="H68" s="2" t="str">
        <f t="shared" si="1"/>
        <v>D</v>
      </c>
    </row>
    <row r="69" spans="1:10" x14ac:dyDescent="0.35">
      <c r="A69" s="2">
        <v>61</v>
      </c>
      <c r="B69" s="2" t="s">
        <v>73</v>
      </c>
      <c r="C69" s="2" t="s">
        <v>74</v>
      </c>
      <c r="D69" s="3" t="s">
        <v>75</v>
      </c>
      <c r="E69" s="4">
        <v>1</v>
      </c>
      <c r="F69" s="4">
        <v>0</v>
      </c>
      <c r="G69" s="3" t="s">
        <v>76</v>
      </c>
      <c r="H69" s="2" t="str">
        <f t="shared" si="1"/>
        <v>H</v>
      </c>
      <c r="J69">
        <v>0</v>
      </c>
    </row>
    <row r="70" spans="1:10" x14ac:dyDescent="0.35">
      <c r="A70" s="2">
        <v>62</v>
      </c>
      <c r="B70" s="2" t="s">
        <v>73</v>
      </c>
      <c r="C70" s="2" t="s">
        <v>74</v>
      </c>
      <c r="D70" s="3" t="s">
        <v>77</v>
      </c>
      <c r="E70" s="4">
        <v>2</v>
      </c>
      <c r="F70" s="4">
        <v>1</v>
      </c>
      <c r="G70" s="3" t="s">
        <v>78</v>
      </c>
      <c r="H70" s="2" t="str">
        <f t="shared" si="1"/>
        <v>H</v>
      </c>
      <c r="J70">
        <v>0</v>
      </c>
    </row>
    <row r="71" spans="1:10" x14ac:dyDescent="0.35">
      <c r="A71" s="2">
        <v>63</v>
      </c>
      <c r="B71" s="2" t="s">
        <v>79</v>
      </c>
      <c r="C71" s="2" t="s">
        <v>74</v>
      </c>
      <c r="D71" s="3" t="s">
        <v>75</v>
      </c>
      <c r="E71" s="4">
        <v>0</v>
      </c>
      <c r="F71" s="4">
        <v>2</v>
      </c>
      <c r="G71" s="3" t="s">
        <v>77</v>
      </c>
      <c r="H71" s="2" t="str">
        <f t="shared" si="1"/>
        <v>A</v>
      </c>
    </row>
    <row r="72" spans="1:10" x14ac:dyDescent="0.35">
      <c r="A72" s="2">
        <v>64</v>
      </c>
      <c r="B72" s="2" t="s">
        <v>79</v>
      </c>
      <c r="C72" s="2" t="s">
        <v>74</v>
      </c>
      <c r="D72" s="3" t="s">
        <v>78</v>
      </c>
      <c r="E72" s="4">
        <v>1</v>
      </c>
      <c r="F72" s="4">
        <v>1</v>
      </c>
      <c r="G72" s="3" t="s">
        <v>76</v>
      </c>
      <c r="H72" s="2" t="str">
        <f t="shared" si="1"/>
        <v>D</v>
      </c>
    </row>
    <row r="73" spans="1:10" x14ac:dyDescent="0.35">
      <c r="A73" s="2">
        <v>65</v>
      </c>
      <c r="B73" s="2" t="s">
        <v>72</v>
      </c>
      <c r="C73" s="2" t="s">
        <v>74</v>
      </c>
      <c r="D73" s="3" t="s">
        <v>78</v>
      </c>
      <c r="E73" s="4">
        <v>2</v>
      </c>
      <c r="F73" s="4">
        <v>0</v>
      </c>
      <c r="G73" s="3" t="s">
        <v>75</v>
      </c>
      <c r="H73" s="2" t="str">
        <f t="shared" ref="H73:H80" si="2">IF(AND(E73&lt;&gt;"",F73&lt;&gt;""),IF(E73&gt;F73,"H",IF(E73&lt;F73,"A","D")),"")</f>
        <v>H</v>
      </c>
    </row>
    <row r="74" spans="1:10" x14ac:dyDescent="0.35">
      <c r="A74" s="2">
        <v>66</v>
      </c>
      <c r="B74" s="2" t="s">
        <v>72</v>
      </c>
      <c r="C74" s="2" t="s">
        <v>74</v>
      </c>
      <c r="D74" s="3" t="s">
        <v>76</v>
      </c>
      <c r="E74" s="4">
        <v>0</v>
      </c>
      <c r="F74" s="4">
        <v>1</v>
      </c>
      <c r="G74" s="3" t="s">
        <v>77</v>
      </c>
      <c r="H74" s="2" t="str">
        <f t="shared" si="2"/>
        <v>A</v>
      </c>
    </row>
    <row r="75" spans="1:10" x14ac:dyDescent="0.35">
      <c r="A75" s="2">
        <v>67</v>
      </c>
      <c r="B75" s="2" t="s">
        <v>73</v>
      </c>
      <c r="C75" s="2" t="s">
        <v>80</v>
      </c>
      <c r="D75" s="3" t="s">
        <v>81</v>
      </c>
      <c r="E75" s="4">
        <v>2</v>
      </c>
      <c r="F75" s="4">
        <v>0</v>
      </c>
      <c r="G75" s="3" t="s">
        <v>82</v>
      </c>
      <c r="H75" s="2" t="str">
        <f t="shared" si="2"/>
        <v>H</v>
      </c>
      <c r="J75">
        <v>1</v>
      </c>
    </row>
    <row r="76" spans="1:10" x14ac:dyDescent="0.35">
      <c r="A76" s="2">
        <v>68</v>
      </c>
      <c r="B76" s="2" t="s">
        <v>73</v>
      </c>
      <c r="C76" s="2" t="s">
        <v>80</v>
      </c>
      <c r="D76" s="3" t="s">
        <v>83</v>
      </c>
      <c r="E76" s="4">
        <v>1</v>
      </c>
      <c r="F76" s="4">
        <v>1</v>
      </c>
      <c r="G76" s="3" t="s">
        <v>84</v>
      </c>
      <c r="H76" s="2" t="str">
        <f t="shared" si="2"/>
        <v>D</v>
      </c>
      <c r="J76">
        <v>0</v>
      </c>
    </row>
    <row r="77" spans="1:10" x14ac:dyDescent="0.35">
      <c r="A77" s="2">
        <v>69</v>
      </c>
      <c r="B77" s="2" t="s">
        <v>79</v>
      </c>
      <c r="C77" s="2" t="s">
        <v>80</v>
      </c>
      <c r="D77" s="3" t="s">
        <v>81</v>
      </c>
      <c r="E77" s="4">
        <v>3</v>
      </c>
      <c r="F77" s="4">
        <v>1</v>
      </c>
      <c r="G77" s="3" t="s">
        <v>83</v>
      </c>
      <c r="H77" s="2" t="str">
        <f t="shared" si="2"/>
        <v>H</v>
      </c>
    </row>
    <row r="78" spans="1:10" x14ac:dyDescent="0.35">
      <c r="A78" s="2">
        <v>70</v>
      </c>
      <c r="B78" s="2" t="s">
        <v>79</v>
      </c>
      <c r="C78" s="2" t="s">
        <v>80</v>
      </c>
      <c r="D78" s="3" t="s">
        <v>84</v>
      </c>
      <c r="E78" s="4">
        <v>2</v>
      </c>
      <c r="F78" s="4">
        <v>0</v>
      </c>
      <c r="G78" s="3" t="s">
        <v>82</v>
      </c>
      <c r="H78" s="2" t="str">
        <f t="shared" si="2"/>
        <v>H</v>
      </c>
    </row>
    <row r="79" spans="1:10" x14ac:dyDescent="0.35">
      <c r="A79" s="2">
        <v>71</v>
      </c>
      <c r="B79" s="2" t="s">
        <v>72</v>
      </c>
      <c r="C79" s="2" t="s">
        <v>80</v>
      </c>
      <c r="D79" s="3" t="s">
        <v>84</v>
      </c>
      <c r="E79" s="4">
        <v>1</v>
      </c>
      <c r="F79" s="4">
        <v>2</v>
      </c>
      <c r="G79" s="3" t="s">
        <v>81</v>
      </c>
      <c r="H79" s="2" t="str">
        <f t="shared" si="2"/>
        <v>A</v>
      </c>
    </row>
    <row r="80" spans="1:10" x14ac:dyDescent="0.35">
      <c r="A80" s="2">
        <v>72</v>
      </c>
      <c r="B80" s="2" t="s">
        <v>72</v>
      </c>
      <c r="C80" s="2" t="s">
        <v>80</v>
      </c>
      <c r="D80" s="3" t="s">
        <v>82</v>
      </c>
      <c r="E80" s="4">
        <v>0</v>
      </c>
      <c r="F80" s="4">
        <v>0</v>
      </c>
      <c r="G80" s="3" t="s">
        <v>83</v>
      </c>
      <c r="H80" s="2" t="str">
        <f t="shared" si="2"/>
        <v>D</v>
      </c>
    </row>
    <row r="82" spans="10:10" x14ac:dyDescent="0.35">
      <c r="J82">
        <f>SUM(J9:J80)</f>
        <v>10</v>
      </c>
    </row>
  </sheetData>
  <pageMargins left="0.75" right="0.75" top="1" bottom="1" header="0.5" footer="0.5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F5B7-123C-418A-BF97-93F7F94BA2D8}">
  <sheetPr>
    <tabColor theme="8" tint="0.39997558519241921"/>
  </sheetPr>
  <dimension ref="A5:Q42"/>
  <sheetViews>
    <sheetView topLeftCell="A4" workbookViewId="0">
      <selection activeCell="H18" sqref="H18"/>
    </sheetView>
  </sheetViews>
  <sheetFormatPr defaultColWidth="8.81640625" defaultRowHeight="14.5" x14ac:dyDescent="0.35"/>
  <cols>
    <col min="1" max="1" width="3.1796875" customWidth="1"/>
    <col min="2" max="2" width="20.6328125" customWidth="1"/>
    <col min="3" max="3" width="1.81640625" customWidth="1"/>
    <col min="4" max="4" width="3.1796875" customWidth="1"/>
    <col min="5" max="5" width="20.6328125" customWidth="1"/>
    <col min="6" max="6" width="1.81640625" customWidth="1"/>
    <col min="7" max="7" width="3.1796875" customWidth="1"/>
    <col min="8" max="8" width="20.6328125" customWidth="1"/>
    <col min="9" max="9" width="1.81640625" customWidth="1"/>
    <col min="10" max="10" width="3.1796875" customWidth="1"/>
    <col min="11" max="11" width="20.6328125" customWidth="1"/>
    <col min="12" max="12" width="1.81640625" customWidth="1"/>
    <col min="13" max="13" width="3.1796875" customWidth="1"/>
    <col min="14" max="14" width="20.6328125" customWidth="1"/>
    <col min="15" max="15" width="1.81640625" customWidth="1"/>
    <col min="16" max="16" width="3.1796875" customWidth="1"/>
    <col min="17" max="17" width="20.6328125" customWidth="1"/>
  </cols>
  <sheetData>
    <row r="5" spans="1:17" x14ac:dyDescent="0.35">
      <c r="P5" s="5"/>
    </row>
    <row r="8" spans="1:17" s="8" customFormat="1" ht="15.65" customHeight="1" x14ac:dyDescent="0.35">
      <c r="A8" s="6" t="s">
        <v>85</v>
      </c>
      <c r="B8" s="7"/>
      <c r="D8" s="6" t="s">
        <v>86</v>
      </c>
      <c r="E8" s="7"/>
      <c r="G8" s="6" t="s">
        <v>87</v>
      </c>
      <c r="H8" s="7"/>
      <c r="J8" s="6" t="s">
        <v>88</v>
      </c>
      <c r="K8" s="7"/>
      <c r="M8" s="6" t="s">
        <v>89</v>
      </c>
      <c r="N8" s="7"/>
      <c r="P8" s="6" t="s">
        <v>90</v>
      </c>
      <c r="Q8" s="7"/>
    </row>
    <row r="9" spans="1:17" s="9" customFormat="1" x14ac:dyDescent="0.35"/>
    <row r="10" spans="1:17" s="9" customFormat="1" x14ac:dyDescent="0.35">
      <c r="A10" s="10">
        <v>1</v>
      </c>
      <c r="B10" t="s">
        <v>155</v>
      </c>
      <c r="D10" s="10">
        <v>1</v>
      </c>
      <c r="E10" t="s">
        <v>155</v>
      </c>
      <c r="G10" s="10">
        <v>1</v>
      </c>
      <c r="H10" t="s">
        <v>155</v>
      </c>
      <c r="J10" s="10">
        <v>1</v>
      </c>
      <c r="K10" s="11" t="s">
        <v>141</v>
      </c>
      <c r="M10" s="10">
        <v>1</v>
      </c>
      <c r="N10" s="11" t="s">
        <v>141</v>
      </c>
      <c r="P10" s="10">
        <v>1</v>
      </c>
      <c r="Q10" s="11" t="s">
        <v>148</v>
      </c>
    </row>
    <row r="11" spans="1:17" s="9" customFormat="1" x14ac:dyDescent="0.35">
      <c r="A11" s="10">
        <f t="shared" ref="A11:A41" si="0">A10+1</f>
        <v>2</v>
      </c>
      <c r="B11" t="s">
        <v>148</v>
      </c>
      <c r="D11" s="10">
        <f t="shared" ref="D11:D25" si="1">D10+1</f>
        <v>2</v>
      </c>
      <c r="E11" t="s">
        <v>167</v>
      </c>
      <c r="G11" s="10">
        <f t="shared" ref="G11:G17" si="2">G10+1</f>
        <v>2</v>
      </c>
      <c r="H11" t="s">
        <v>148</v>
      </c>
      <c r="J11" s="10">
        <f>J10+1</f>
        <v>2</v>
      </c>
      <c r="K11" s="11" t="s">
        <v>101</v>
      </c>
      <c r="M11" s="10">
        <f>M10+1</f>
        <v>2</v>
      </c>
      <c r="N11" s="11" t="s">
        <v>148</v>
      </c>
    </row>
    <row r="12" spans="1:17" s="9" customFormat="1" x14ac:dyDescent="0.35">
      <c r="A12" s="10">
        <f t="shared" si="0"/>
        <v>3</v>
      </c>
      <c r="B12" t="s">
        <v>167</v>
      </c>
      <c r="D12" s="10">
        <f t="shared" si="1"/>
        <v>3</v>
      </c>
      <c r="E12" t="s">
        <v>148</v>
      </c>
      <c r="G12" s="10">
        <f t="shared" si="2"/>
        <v>3</v>
      </c>
      <c r="H12" t="s">
        <v>167</v>
      </c>
      <c r="J12" s="10">
        <f>J11+1</f>
        <v>3</v>
      </c>
      <c r="K12" s="11" t="s">
        <v>148</v>
      </c>
    </row>
    <row r="13" spans="1:17" s="9" customFormat="1" x14ac:dyDescent="0.35">
      <c r="A13" s="10">
        <f t="shared" si="0"/>
        <v>4</v>
      </c>
      <c r="B13" t="s">
        <v>157</v>
      </c>
      <c r="D13" s="10">
        <f t="shared" si="1"/>
        <v>4</v>
      </c>
      <c r="E13" t="s">
        <v>157</v>
      </c>
      <c r="G13" s="10">
        <f t="shared" si="2"/>
        <v>4</v>
      </c>
      <c r="H13" t="s">
        <v>157</v>
      </c>
      <c r="J13" s="10">
        <f>J12+1</f>
        <v>4</v>
      </c>
      <c r="K13" s="11" t="s">
        <v>151</v>
      </c>
    </row>
    <row r="14" spans="1:17" s="9" customFormat="1" x14ac:dyDescent="0.35">
      <c r="A14" s="10">
        <f t="shared" si="0"/>
        <v>5</v>
      </c>
      <c r="B14" t="s">
        <v>151</v>
      </c>
      <c r="D14" s="10">
        <f t="shared" si="1"/>
        <v>5</v>
      </c>
      <c r="E14" t="s">
        <v>151</v>
      </c>
      <c r="G14" s="10">
        <f t="shared" si="2"/>
        <v>5</v>
      </c>
      <c r="H14" t="s">
        <v>151</v>
      </c>
    </row>
    <row r="15" spans="1:17" s="9" customFormat="1" x14ac:dyDescent="0.35">
      <c r="A15" s="10">
        <f t="shared" si="0"/>
        <v>6</v>
      </c>
      <c r="B15" t="s">
        <v>75</v>
      </c>
      <c r="D15" s="10">
        <f t="shared" si="1"/>
        <v>6</v>
      </c>
      <c r="E15" t="s">
        <v>165</v>
      </c>
      <c r="G15" s="10">
        <f t="shared" si="2"/>
        <v>6</v>
      </c>
      <c r="H15" t="s">
        <v>146</v>
      </c>
    </row>
    <row r="16" spans="1:17" s="9" customFormat="1" x14ac:dyDescent="0.35">
      <c r="A16" s="10">
        <f t="shared" si="0"/>
        <v>7</v>
      </c>
      <c r="B16" t="s">
        <v>165</v>
      </c>
      <c r="D16" s="10">
        <f t="shared" si="1"/>
        <v>7</v>
      </c>
      <c r="E16" t="s">
        <v>75</v>
      </c>
      <c r="G16" s="10">
        <f t="shared" si="2"/>
        <v>7</v>
      </c>
      <c r="H16" t="s">
        <v>75</v>
      </c>
    </row>
    <row r="17" spans="1:11" s="9" customFormat="1" x14ac:dyDescent="0.35">
      <c r="A17" s="10">
        <f t="shared" si="0"/>
        <v>8</v>
      </c>
      <c r="B17" t="s">
        <v>146</v>
      </c>
      <c r="D17" s="10">
        <f t="shared" si="1"/>
        <v>8</v>
      </c>
      <c r="E17" t="s">
        <v>146</v>
      </c>
      <c r="G17" s="10">
        <f t="shared" si="2"/>
        <v>8</v>
      </c>
      <c r="H17" t="s">
        <v>165</v>
      </c>
    </row>
    <row r="18" spans="1:11" s="9" customFormat="1" x14ac:dyDescent="0.35">
      <c r="A18" s="10">
        <f t="shared" si="0"/>
        <v>9</v>
      </c>
      <c r="B18" t="s">
        <v>160</v>
      </c>
      <c r="D18" s="10">
        <f t="shared" si="1"/>
        <v>9</v>
      </c>
      <c r="E18" t="s">
        <v>160</v>
      </c>
    </row>
    <row r="19" spans="1:11" s="9" customFormat="1" x14ac:dyDescent="0.35">
      <c r="A19" s="10">
        <f t="shared" si="0"/>
        <v>10</v>
      </c>
      <c r="B19" t="s">
        <v>59</v>
      </c>
      <c r="D19" s="10">
        <f t="shared" si="1"/>
        <v>10</v>
      </c>
      <c r="E19" t="s">
        <v>150</v>
      </c>
    </row>
    <row r="20" spans="1:11" s="9" customFormat="1" x14ac:dyDescent="0.35">
      <c r="A20" s="10">
        <f t="shared" si="0"/>
        <v>11</v>
      </c>
      <c r="B20" t="s">
        <v>150</v>
      </c>
      <c r="D20" s="10">
        <f t="shared" si="1"/>
        <v>11</v>
      </c>
      <c r="E20" t="s">
        <v>59</v>
      </c>
      <c r="H20" s="12" t="s">
        <v>110</v>
      </c>
    </row>
    <row r="21" spans="1:11" s="9" customFormat="1" x14ac:dyDescent="0.35">
      <c r="A21" s="10">
        <f t="shared" si="0"/>
        <v>12</v>
      </c>
      <c r="B21" t="s">
        <v>44</v>
      </c>
      <c r="D21" s="10">
        <f t="shared" si="1"/>
        <v>12</v>
      </c>
      <c r="E21" t="s">
        <v>162</v>
      </c>
    </row>
    <row r="22" spans="1:11" s="9" customFormat="1" x14ac:dyDescent="0.35">
      <c r="A22" s="10">
        <f t="shared" si="0"/>
        <v>13</v>
      </c>
      <c r="B22" t="s">
        <v>349</v>
      </c>
      <c r="D22" s="10">
        <f t="shared" si="1"/>
        <v>13</v>
      </c>
      <c r="E22" t="s">
        <v>10</v>
      </c>
      <c r="H22" s="9" t="s">
        <v>113</v>
      </c>
      <c r="K22" s="57" t="s">
        <v>348</v>
      </c>
    </row>
    <row r="23" spans="1:11" s="9" customFormat="1" x14ac:dyDescent="0.35">
      <c r="A23" s="10">
        <f t="shared" si="0"/>
        <v>14</v>
      </c>
      <c r="B23" t="s">
        <v>10</v>
      </c>
      <c r="D23" s="10">
        <f t="shared" si="1"/>
        <v>14</v>
      </c>
      <c r="E23" t="s">
        <v>245</v>
      </c>
      <c r="H23" s="9" t="s">
        <v>116</v>
      </c>
      <c r="K23" s="11" t="s">
        <v>59</v>
      </c>
    </row>
    <row r="24" spans="1:11" s="9" customFormat="1" x14ac:dyDescent="0.35">
      <c r="A24" s="10">
        <f t="shared" si="0"/>
        <v>15</v>
      </c>
      <c r="B24" t="s">
        <v>245</v>
      </c>
      <c r="D24" s="10">
        <f t="shared" si="1"/>
        <v>15</v>
      </c>
      <c r="E24" t="s">
        <v>169</v>
      </c>
      <c r="H24" s="9" t="s">
        <v>119</v>
      </c>
      <c r="K24" s="57" t="s">
        <v>348</v>
      </c>
    </row>
    <row r="25" spans="1:11" s="9" customFormat="1" x14ac:dyDescent="0.35">
      <c r="A25" s="10">
        <f t="shared" si="0"/>
        <v>16</v>
      </c>
      <c r="B25" t="s">
        <v>347</v>
      </c>
      <c r="D25" s="10">
        <f t="shared" si="1"/>
        <v>16</v>
      </c>
      <c r="E25" t="s">
        <v>44</v>
      </c>
    </row>
    <row r="26" spans="1:11" s="9" customFormat="1" x14ac:dyDescent="0.35">
      <c r="A26" s="10">
        <f t="shared" si="0"/>
        <v>17</v>
      </c>
      <c r="B26" t="s">
        <v>169</v>
      </c>
      <c r="H26" s="9" t="s">
        <v>122</v>
      </c>
      <c r="K26" s="13">
        <v>333</v>
      </c>
    </row>
    <row r="27" spans="1:11" s="9" customFormat="1" x14ac:dyDescent="0.35">
      <c r="A27" s="10">
        <f t="shared" si="0"/>
        <v>18</v>
      </c>
      <c r="B27" t="s">
        <v>162</v>
      </c>
      <c r="H27" s="9" t="s">
        <v>124</v>
      </c>
    </row>
    <row r="28" spans="1:11" x14ac:dyDescent="0.35">
      <c r="A28" s="10">
        <f t="shared" si="0"/>
        <v>19</v>
      </c>
      <c r="B28" t="s">
        <v>78</v>
      </c>
    </row>
    <row r="29" spans="1:11" x14ac:dyDescent="0.35">
      <c r="A29" s="10">
        <f t="shared" si="0"/>
        <v>20</v>
      </c>
      <c r="B29" t="s">
        <v>170</v>
      </c>
    </row>
    <row r="30" spans="1:11" x14ac:dyDescent="0.35">
      <c r="A30" s="10">
        <f t="shared" si="0"/>
        <v>21</v>
      </c>
      <c r="B30" t="s">
        <v>33</v>
      </c>
    </row>
    <row r="31" spans="1:11" x14ac:dyDescent="0.35">
      <c r="A31" s="10">
        <f t="shared" si="0"/>
        <v>22</v>
      </c>
      <c r="B31" t="s">
        <v>346</v>
      </c>
    </row>
    <row r="32" spans="1:11" x14ac:dyDescent="0.35">
      <c r="A32" s="10">
        <f t="shared" si="0"/>
        <v>23</v>
      </c>
      <c r="B32" t="s">
        <v>40</v>
      </c>
    </row>
    <row r="33" spans="1:2" x14ac:dyDescent="0.35">
      <c r="A33" s="10">
        <f t="shared" si="0"/>
        <v>24</v>
      </c>
      <c r="B33" t="s">
        <v>156</v>
      </c>
    </row>
    <row r="34" spans="1:2" x14ac:dyDescent="0.35">
      <c r="A34" s="10">
        <f t="shared" si="0"/>
        <v>25</v>
      </c>
      <c r="B34" t="s">
        <v>345</v>
      </c>
    </row>
    <row r="35" spans="1:2" x14ac:dyDescent="0.35">
      <c r="A35" s="10">
        <f t="shared" si="0"/>
        <v>26</v>
      </c>
      <c r="B35" t="s">
        <v>344</v>
      </c>
    </row>
    <row r="36" spans="1:2" x14ac:dyDescent="0.35">
      <c r="A36" s="10">
        <f t="shared" si="0"/>
        <v>27</v>
      </c>
      <c r="B36" t="s">
        <v>166</v>
      </c>
    </row>
    <row r="37" spans="1:2" x14ac:dyDescent="0.35">
      <c r="A37" s="10">
        <f t="shared" si="0"/>
        <v>28</v>
      </c>
      <c r="B37" t="s">
        <v>63</v>
      </c>
    </row>
    <row r="38" spans="1:2" x14ac:dyDescent="0.35">
      <c r="A38" s="10">
        <f t="shared" si="0"/>
        <v>29</v>
      </c>
      <c r="B38" t="s">
        <v>18</v>
      </c>
    </row>
    <row r="39" spans="1:2" x14ac:dyDescent="0.35">
      <c r="A39" s="10">
        <f t="shared" si="0"/>
        <v>30</v>
      </c>
      <c r="B39" t="s">
        <v>343</v>
      </c>
    </row>
    <row r="40" spans="1:2" x14ac:dyDescent="0.35">
      <c r="A40" s="10">
        <f t="shared" si="0"/>
        <v>31</v>
      </c>
      <c r="B40" t="s">
        <v>31</v>
      </c>
    </row>
    <row r="41" spans="1:2" x14ac:dyDescent="0.35">
      <c r="A41" s="10">
        <f t="shared" si="0"/>
        <v>32</v>
      </c>
      <c r="B41" t="s">
        <v>13</v>
      </c>
    </row>
    <row r="42" spans="1:2" x14ac:dyDescent="0.35">
      <c r="A42" s="1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71</vt:i4>
      </vt:variant>
    </vt:vector>
  </HeadingPairs>
  <TitlesOfParts>
    <vt:vector size="71" baseType="lpstr">
      <vt:lpstr>Puntentelling</vt:lpstr>
      <vt:lpstr>Groepsfase Thijs</vt:lpstr>
      <vt:lpstr>Knock-out Thijs</vt:lpstr>
      <vt:lpstr>Groepsfase Emma</vt:lpstr>
      <vt:lpstr>Knock-out Emma </vt:lpstr>
      <vt:lpstr>Groepsfase Tom</vt:lpstr>
      <vt:lpstr>Knock-out Tom </vt:lpstr>
      <vt:lpstr>Groepsfase Nova</vt:lpstr>
      <vt:lpstr>Knock-out Nova </vt:lpstr>
      <vt:lpstr>Groepsfase Koen N</vt:lpstr>
      <vt:lpstr>Knock-out Koen N </vt:lpstr>
      <vt:lpstr>Groepsfase Frederique</vt:lpstr>
      <vt:lpstr>Knock-out Frederique </vt:lpstr>
      <vt:lpstr>Groepsfase PP</vt:lpstr>
      <vt:lpstr>Knock-out PP </vt:lpstr>
      <vt:lpstr>Groepsfase Gies</vt:lpstr>
      <vt:lpstr>Knock-out Gies </vt:lpstr>
      <vt:lpstr>Groepsfase Guusje</vt:lpstr>
      <vt:lpstr>Knock-out  Guusje</vt:lpstr>
      <vt:lpstr>Groepsfase Esther</vt:lpstr>
      <vt:lpstr>Knock-out Esther</vt:lpstr>
      <vt:lpstr>Groepsfase Pleun</vt:lpstr>
      <vt:lpstr>Knock-out Pleun</vt:lpstr>
      <vt:lpstr>Groepsfase Niek</vt:lpstr>
      <vt:lpstr>Knock-out Niek </vt:lpstr>
      <vt:lpstr>Groepsfase Patrick</vt:lpstr>
      <vt:lpstr>Knock-out Patrick </vt:lpstr>
      <vt:lpstr>Groepsfase Maartje</vt:lpstr>
      <vt:lpstr>Knock-out Maartje </vt:lpstr>
      <vt:lpstr>Groepsfase Sam</vt:lpstr>
      <vt:lpstr>Knock-out Sam </vt:lpstr>
      <vt:lpstr>Groepsfase Guus</vt:lpstr>
      <vt:lpstr>Knock-out Guus </vt:lpstr>
      <vt:lpstr>Groepsfase Bram</vt:lpstr>
      <vt:lpstr>Knock-out Bram </vt:lpstr>
      <vt:lpstr>Groepsfase Puck</vt:lpstr>
      <vt:lpstr>Knock-out Puck</vt:lpstr>
      <vt:lpstr>Groepsfase Mart</vt:lpstr>
      <vt:lpstr>Knock-out Mart </vt:lpstr>
      <vt:lpstr>Groepsfase Jetski</vt:lpstr>
      <vt:lpstr>Knock-out Jetski </vt:lpstr>
      <vt:lpstr>Groepsfase Dennis</vt:lpstr>
      <vt:lpstr>Knock-out Dennis </vt:lpstr>
      <vt:lpstr>Groepsfase Froukje</vt:lpstr>
      <vt:lpstr>Knock-out Froukje </vt:lpstr>
      <vt:lpstr>Groepsfase Edward</vt:lpstr>
      <vt:lpstr>Knock-out  Edward</vt:lpstr>
      <vt:lpstr>Groepsfase Lucas</vt:lpstr>
      <vt:lpstr>Knock-out Lucas </vt:lpstr>
      <vt:lpstr>Groepsfase Bobbi</vt:lpstr>
      <vt:lpstr>Knock-out Bobbi</vt:lpstr>
      <vt:lpstr>Groepsfase Koen B</vt:lpstr>
      <vt:lpstr>Knock-out  Koen B</vt:lpstr>
      <vt:lpstr>Groepsfase Floris</vt:lpstr>
      <vt:lpstr>Knock-out Floris</vt:lpstr>
      <vt:lpstr>Groepsfase Gijs</vt:lpstr>
      <vt:lpstr>Knock-out Gijs</vt:lpstr>
      <vt:lpstr>Groepsfase vd Geize</vt:lpstr>
      <vt:lpstr>Knock-out vd Geize</vt:lpstr>
      <vt:lpstr>Groepsfase Freek</vt:lpstr>
      <vt:lpstr>Knock-out  FReek</vt:lpstr>
      <vt:lpstr>Groepsfase Nanne</vt:lpstr>
      <vt:lpstr>Knock-out Nanne </vt:lpstr>
      <vt:lpstr>Groepsfase Mats</vt:lpstr>
      <vt:lpstr>Knock-out MAts </vt:lpstr>
      <vt:lpstr>Groepsfase Teun</vt:lpstr>
      <vt:lpstr>Knock-out Teun </vt:lpstr>
      <vt:lpstr>Groepsfase Ollie</vt:lpstr>
      <vt:lpstr>Knock-out Ollie </vt:lpstr>
      <vt:lpstr>Groepsfase AI</vt:lpstr>
      <vt:lpstr>Knock-out AI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Freek Zegger</dc:creator>
  <cp:lastModifiedBy>Freek Zegger</cp:lastModifiedBy>
  <dcterms:created xsi:type="dcterms:W3CDTF">2026-06-14T11:19:54Z</dcterms:created>
  <dcterms:modified xsi:type="dcterms:W3CDTF">2026-06-18T13:02:16Z</dcterms:modified>
</cp:coreProperties>
</file>